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iziheng/Documents/Julia/PALEOdevnew/PALEOexamples/src/OOEOAE_base/"/>
    </mc:Choice>
  </mc:AlternateContent>
  <xr:revisionPtr revIDLastSave="0" documentId="13_ncr:1_{F5440463-831F-8D4A-A4FD-467443905127}" xr6:coauthVersionLast="36" xr6:coauthVersionMax="47" xr10:uidLastSave="{00000000-0000-0000-0000-000000000000}"/>
  <bookViews>
    <workbookView xWindow="520" yWindow="460" windowWidth="26780" windowHeight="17520" xr2:uid="{4DB6F529-29B5-BD4C-A41B-DA1EC77F1C1C}"/>
  </bookViews>
  <sheets>
    <sheet name="Sheet1" sheetId="1" r:id="rId1"/>
    <sheet name="Table S1" sheetId="3" r:id="rId2"/>
    <sheet name="Table S2" sheetId="4" r:id="rId3"/>
    <sheet name="Figure 6" sheetId="2" r:id="rId4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14" i="1" l="1"/>
  <c r="G15" i="1"/>
  <c r="G16" i="1"/>
  <c r="G17" i="1"/>
  <c r="G18" i="1"/>
  <c r="G19" i="1"/>
  <c r="G20" i="1"/>
  <c r="G21" i="1"/>
  <c r="G22" i="1"/>
  <c r="G13" i="1"/>
  <c r="G11" i="1" l="1"/>
  <c r="G9" i="1"/>
  <c r="G6" i="1"/>
  <c r="G59" i="1" l="1"/>
  <c r="E39" i="1" l="1"/>
  <c r="G39" i="1" s="1"/>
  <c r="G4" i="1"/>
  <c r="G5" i="1"/>
  <c r="G7" i="1"/>
  <c r="G10" i="1"/>
  <c r="G24" i="1"/>
  <c r="G25" i="1"/>
  <c r="G26" i="1"/>
  <c r="G27" i="1"/>
  <c r="G29" i="1"/>
  <c r="G30" i="1"/>
  <c r="G32" i="1"/>
  <c r="G33" i="1"/>
  <c r="G34" i="1"/>
  <c r="G113" i="1"/>
  <c r="G114" i="1"/>
  <c r="G115" i="1"/>
  <c r="G116" i="1"/>
  <c r="G117" i="1"/>
  <c r="G118" i="1"/>
  <c r="G38" i="1"/>
  <c r="G40" i="1"/>
  <c r="G41" i="1"/>
  <c r="G42" i="1"/>
  <c r="G43" i="1"/>
  <c r="G46" i="1"/>
  <c r="G47" i="1"/>
  <c r="G50" i="1"/>
  <c r="G51" i="1"/>
  <c r="G52" i="1"/>
  <c r="G53" i="1"/>
  <c r="G54" i="1"/>
  <c r="G55" i="1"/>
  <c r="G56" i="1"/>
  <c r="G57" i="1"/>
  <c r="G58" i="1"/>
  <c r="G62" i="1"/>
  <c r="G63" i="1"/>
  <c r="G64" i="1"/>
  <c r="G93" i="1"/>
  <c r="G94" i="1"/>
  <c r="G95" i="1"/>
  <c r="G96" i="1"/>
  <c r="G97" i="1"/>
  <c r="G98" i="1"/>
  <c r="G99" i="1"/>
  <c r="G100" i="1"/>
  <c r="G101" i="1"/>
  <c r="G102" i="1"/>
  <c r="G103" i="1"/>
  <c r="G104" i="1"/>
  <c r="G3" i="1"/>
  <c r="G7" i="2"/>
  <c r="G8" i="2"/>
  <c r="G10" i="2"/>
  <c r="G11" i="2"/>
  <c r="G12" i="2"/>
  <c r="G14" i="2"/>
  <c r="G15" i="2"/>
  <c r="G16" i="2"/>
  <c r="G17" i="2"/>
  <c r="G18" i="2"/>
  <c r="G19" i="2"/>
  <c r="G21" i="2"/>
  <c r="G22" i="2"/>
  <c r="G24" i="2"/>
  <c r="G25" i="2"/>
  <c r="G26" i="2"/>
  <c r="G4" i="2"/>
  <c r="G5" i="2"/>
  <c r="G3" i="2"/>
  <c r="E9" i="2"/>
  <c r="G9" i="2" s="1"/>
  <c r="E23" i="2"/>
  <c r="G23" i="2" s="1"/>
  <c r="E16" i="2"/>
</calcChain>
</file>

<file path=xl/sharedStrings.xml><?xml version="1.0" encoding="utf-8"?>
<sst xmlns="http://schemas.openxmlformats.org/spreadsheetml/2006/main" count="1824" uniqueCount="503">
  <si>
    <t>Corg_burial_frac</t>
    <phoneticPr fontId="1" type="noConversion"/>
  </si>
  <si>
    <t>land_flux</t>
    <phoneticPr fontId="1" type="noConversion"/>
  </si>
  <si>
    <t>point</t>
    <phoneticPr fontId="1" type="noConversion"/>
  </si>
  <si>
    <t>Periodicity</t>
  </si>
  <si>
    <t>CO2pulse</t>
  </si>
  <si>
    <t>Duration</t>
  </si>
  <si>
    <t>Magnitude</t>
  </si>
  <si>
    <t>Ppulse</t>
  </si>
  <si>
    <t>Figures</t>
    <phoneticPr fontId="1" type="noConversion"/>
  </si>
  <si>
    <t>Corg cycle size</t>
    <phoneticPr fontId="1" type="noConversion"/>
  </si>
  <si>
    <t>Degassing vs. carbw</t>
    <phoneticPr fontId="1" type="noConversion"/>
  </si>
  <si>
    <t>PO 1</t>
    <phoneticPr fontId="1" type="noConversion"/>
  </si>
  <si>
    <t>PO 2</t>
    <phoneticPr fontId="1" type="noConversion"/>
  </si>
  <si>
    <t>PO 3</t>
    <phoneticPr fontId="1" type="noConversion"/>
  </si>
  <si>
    <t>PO 4</t>
    <phoneticPr fontId="1" type="noConversion"/>
  </si>
  <si>
    <t>const.</t>
    <phoneticPr fontId="1" type="noConversion"/>
  </si>
  <si>
    <t>(1.0, 1.0)</t>
  </si>
  <si>
    <t>-</t>
    <phoneticPr fontId="1" type="noConversion"/>
  </si>
  <si>
    <t>(7.75, 4.5)</t>
    <phoneticPr fontId="1" type="noConversion"/>
  </si>
  <si>
    <t>oxidw, mocb (10^12 mol C/yr)</t>
    <phoneticPr fontId="1" type="noConversion"/>
  </si>
  <si>
    <t>ccdeg, carbw (10^12 mol C/yr)</t>
    <phoneticPr fontId="1" type="noConversion"/>
  </si>
  <si>
    <t>(6.65, 13.35)</t>
    <phoneticPr fontId="1" type="noConversion"/>
  </si>
  <si>
    <t>Fig.2</t>
    <phoneticPr fontId="1" type="noConversion"/>
  </si>
  <si>
    <t>(1.97, 0.57)</t>
    <phoneticPr fontId="1" type="noConversion"/>
  </si>
  <si>
    <t>(3.19, 0.34)</t>
    <phoneticPr fontId="1" type="noConversion"/>
  </si>
  <si>
    <t>(1.73, 0.41)</t>
    <phoneticPr fontId="1" type="noConversion"/>
  </si>
  <si>
    <t>Fig.3</t>
    <phoneticPr fontId="1" type="noConversion"/>
  </si>
  <si>
    <t>(1.96, 0.57, 4.07)</t>
    <phoneticPr fontId="1" type="noConversion"/>
  </si>
  <si>
    <t>POA 7</t>
    <phoneticPr fontId="1" type="noConversion"/>
  </si>
  <si>
    <t>POA 8</t>
    <phoneticPr fontId="1" type="noConversion"/>
  </si>
  <si>
    <t>POA 9</t>
    <phoneticPr fontId="1" type="noConversion"/>
  </si>
  <si>
    <t>POA 10</t>
    <phoneticPr fontId="1" type="noConversion"/>
  </si>
  <si>
    <t>POA 11</t>
    <phoneticPr fontId="1" type="noConversion"/>
  </si>
  <si>
    <t>POA 12</t>
    <phoneticPr fontId="1" type="noConversion"/>
  </si>
  <si>
    <t>POA 13</t>
    <phoneticPr fontId="1" type="noConversion"/>
  </si>
  <si>
    <t>(1.08, 0.28, 4.07)</t>
  </si>
  <si>
    <t>(2.13, 0.50, 4.07)</t>
  </si>
  <si>
    <t>(3.69, 0.83, 4.07)</t>
  </si>
  <si>
    <t>(1.00, 0.32, 4.07)</t>
    <phoneticPr fontId="1" type="noConversion"/>
  </si>
  <si>
    <t>(4.00, 0.78, 4.07)</t>
  </si>
  <si>
    <t>(4.00, 0.78, 4.07)</t>
    <phoneticPr fontId="1" type="noConversion"/>
  </si>
  <si>
    <t>Fig.4</t>
    <phoneticPr fontId="1" type="noConversion"/>
  </si>
  <si>
    <t>Fig.5</t>
    <phoneticPr fontId="1" type="noConversion"/>
  </si>
  <si>
    <t>[1e14, 1e14]</t>
    <phoneticPr fontId="1" type="noConversion"/>
  </si>
  <si>
    <t>[2e14, 2e14]</t>
    <phoneticPr fontId="1" type="noConversion"/>
  </si>
  <si>
    <t>[5e6, 5e6+2e7, 1e8]</t>
    <phoneticPr fontId="1" type="noConversion"/>
  </si>
  <si>
    <t>[0, -2.5e12, -2.5e12]</t>
  </si>
  <si>
    <t>[0, -2.5e12, -2.5e12]</t>
    <phoneticPr fontId="1" type="noConversion"/>
  </si>
  <si>
    <t>[5e6, 5e6+5e6, 1e8]</t>
    <phoneticPr fontId="1" type="noConversion"/>
  </si>
  <si>
    <t>(2.13, 0.50, 4.07)</t>
    <phoneticPr fontId="1" type="noConversion"/>
  </si>
  <si>
    <t>(2.12, 0.49, 4.07)</t>
    <phoneticPr fontId="1" type="noConversion"/>
  </si>
  <si>
    <t>(2.14, 0.50, 4.29)</t>
    <phoneticPr fontId="1" type="noConversion"/>
  </si>
  <si>
    <t>(3.75, 2.5)</t>
    <phoneticPr fontId="1" type="noConversion"/>
  </si>
  <si>
    <t>(15, 8)</t>
    <phoneticPr fontId="1" type="noConversion"/>
  </si>
  <si>
    <t>(2.28, 0.53, 4.07)</t>
    <phoneticPr fontId="1" type="noConversion"/>
  </si>
  <si>
    <t>(2.16, 0.51, 4.56)</t>
    <phoneticPr fontId="1" type="noConversion"/>
  </si>
  <si>
    <t>Pw feedback (TEMP and proportion)</t>
    <phoneticPr fontId="1" type="noConversion"/>
  </si>
  <si>
    <t>Temp. sensitivity of weathering (kTgran, kTbas)</t>
    <phoneticPr fontId="1" type="noConversion"/>
  </si>
  <si>
    <t>(0.09, 0.09)</t>
  </si>
  <si>
    <t>PO S1</t>
    <phoneticPr fontId="1" type="noConversion"/>
  </si>
  <si>
    <t>PO S2</t>
    <phoneticPr fontId="1" type="noConversion"/>
  </si>
  <si>
    <t>PO S3</t>
  </si>
  <si>
    <t>PO S4</t>
  </si>
  <si>
    <t>PO S5</t>
  </si>
  <si>
    <t>PO S6</t>
  </si>
  <si>
    <t>PO S7</t>
  </si>
  <si>
    <t>PO S8</t>
  </si>
  <si>
    <t>PO S9</t>
  </si>
  <si>
    <t>PO S10</t>
  </si>
  <si>
    <t>PO S11</t>
  </si>
  <si>
    <t>PO S12</t>
  </si>
  <si>
    <t>(1.0, 1.0)</t>
    <phoneticPr fontId="1" type="noConversion"/>
  </si>
  <si>
    <t>Folder</t>
  </si>
  <si>
    <t>Script</t>
  </si>
  <si>
    <t>Name</t>
  </si>
  <si>
    <t>1_P_O_columns_test</t>
  </si>
  <si>
    <t>P_O_columns_FigS1_20231130.jl</t>
    <phoneticPr fontId="1" type="noConversion"/>
  </si>
  <si>
    <t>(4.0, 7.5)</t>
    <phoneticPr fontId="1" type="noConversion"/>
  </si>
  <si>
    <t>(2.05,0.63)</t>
    <phoneticPr fontId="1" type="noConversion"/>
  </si>
  <si>
    <t>(3.35, 0.44)</t>
    <phoneticPr fontId="1" type="noConversion"/>
  </si>
  <si>
    <t>(2.19,0.73)</t>
    <phoneticPr fontId="1" type="noConversion"/>
  </si>
  <si>
    <t>(4.0, 0.59)</t>
    <phoneticPr fontId="1" type="noConversion"/>
  </si>
  <si>
    <t>Fig.S4</t>
    <phoneticPr fontId="1" type="noConversion"/>
  </si>
  <si>
    <t>modern_Bergman_unstable_baseline2</t>
    <phoneticPr fontId="1" type="noConversion"/>
  </si>
  <si>
    <t>modern_Bergman_sharp_switch_unstable5</t>
    <phoneticPr fontId="1" type="noConversion"/>
  </si>
  <si>
    <t>(2.34, 0.85)</t>
    <phoneticPr fontId="1" type="noConversion"/>
  </si>
  <si>
    <t>Fig.S6</t>
    <phoneticPr fontId="1" type="noConversion"/>
  </si>
  <si>
    <t>(1.23, 0.30)</t>
    <phoneticPr fontId="1" type="noConversion"/>
  </si>
  <si>
    <t>(3.93, 0.87)</t>
    <phoneticPr fontId="1" type="noConversion"/>
  </si>
  <si>
    <t>2_P_O_A_U_columns_test</t>
    <phoneticPr fontId="1" type="noConversion"/>
  </si>
  <si>
    <t>modern_Bergman_sharp_switch_stable_oxic_Ppulse1</t>
    <phoneticPr fontId="1" type="noConversion"/>
  </si>
  <si>
    <t>modern_Bergman_sharp_switch_stable_oxic_Ppulse2</t>
    <phoneticPr fontId="1" type="noConversion"/>
  </si>
  <si>
    <t>modern_Bergman_sharp_switch_stable_oxic_Ppulse_rate1</t>
    <phoneticPr fontId="1" type="noConversion"/>
  </si>
  <si>
    <t>modern_Bergman_sharp_switch_stable_oxic_Ppulse_rate2</t>
    <phoneticPr fontId="1" type="noConversion"/>
  </si>
  <si>
    <t>modern_Bergman_sharp_switch_stable_oxic_Ppulse_rate3</t>
    <phoneticPr fontId="1" type="noConversion"/>
  </si>
  <si>
    <t>[2e7, 2e7+5e4]</t>
    <phoneticPr fontId="1" type="noConversion"/>
  </si>
  <si>
    <t>[1.5e10, 1.5e10]</t>
    <phoneticPr fontId="1" type="noConversion"/>
  </si>
  <si>
    <t>[3.0e10, 3.0e10]</t>
    <phoneticPr fontId="1" type="noConversion"/>
  </si>
  <si>
    <t>[0, 1.5e7, 1.5e7+2.0e7, 1e8]</t>
    <phoneticPr fontId="1" type="noConversion"/>
  </si>
  <si>
    <t>[0, 1.5e7, 1.5e7+0.01e7, 1e8]</t>
    <phoneticPr fontId="1" type="noConversion"/>
  </si>
  <si>
    <t>preCambrian_Bergman_sharp_switch_unstable5_Corgb3_Psilw_only</t>
    <phoneticPr fontId="1" type="noConversion"/>
  </si>
  <si>
    <t>preCambrian_Bergman_sharp_switch_unstable5_Corgb3_Pcarbw_only</t>
    <phoneticPr fontId="1" type="noConversion"/>
  </si>
  <si>
    <t>preCambrian_Bergman_sharp_switch_unstable5_Corgb3_Pw_reload</t>
    <phoneticPr fontId="1" type="noConversion"/>
  </si>
  <si>
    <t>preCambrian_Bergman_sharp_switch_unstable5_Corgb3_Pw_Bergman</t>
    <phoneticPr fontId="1" type="noConversion"/>
  </si>
  <si>
    <t>preCambrian_Bergman_sharp_switch_unstable5_Corgb3_TEMP_Psilw_only</t>
    <phoneticPr fontId="1" type="noConversion"/>
  </si>
  <si>
    <t>P_O_A_U_Table2_2_reload_vs_Bergman_20231130.jl</t>
    <phoneticPr fontId="1" type="noConversion"/>
  </si>
  <si>
    <t>(0.0724, 0.0608)</t>
    <phoneticPr fontId="1" type="noConversion"/>
  </si>
  <si>
    <t>preCambrian_Bergman_sharp_switch_unstable5_Corgb3_Psilw_only_low_Corg_size</t>
    <phoneticPr fontId="1" type="noConversion"/>
  </si>
  <si>
    <t>preCambrian_Bergman_sharp_switch_unstable5_Corgb3_Psilw_only_degassing_vs_carbw</t>
    <phoneticPr fontId="1" type="noConversion"/>
  </si>
  <si>
    <t>preCambrian_Bergman_sharp_switch_unstable5_Corgb3_Psilw_only_sharpness</t>
    <phoneticPr fontId="1" type="noConversion"/>
  </si>
  <si>
    <t>preCambrian_Bergman_sharp_switch_unstable5_Corgb3_Psilw_only_lowCPsea</t>
    <phoneticPr fontId="1" type="noConversion"/>
  </si>
  <si>
    <t>Fig. S10</t>
    <phoneticPr fontId="1" type="noConversion"/>
  </si>
  <si>
    <t>Fig. S11</t>
    <phoneticPr fontId="1" type="noConversion"/>
  </si>
  <si>
    <t>Fig. S12</t>
    <phoneticPr fontId="1" type="noConversion"/>
  </si>
  <si>
    <t>[5e6, 5e6+1e5, 1e8]</t>
  </si>
  <si>
    <t>modern_Bergman_constCPsea1</t>
  </si>
  <si>
    <t>preCambrian_Bergman_constCPsea1</t>
  </si>
  <si>
    <t>preCambrian_Corgbf0p5_Bergman_constCPsea1</t>
  </si>
  <si>
    <t>modern_Bergman_constCPsea2</t>
  </si>
  <si>
    <t>preCambrian_Bergman_constCPsea2</t>
  </si>
  <si>
    <t>preCambrian_Corgbf0p5_Bergman_constCPsea2</t>
  </si>
  <si>
    <t>preCambrian_Bergman_lowO2U</t>
  </si>
  <si>
    <t>preCambrian_Corgbf0p5_Bergman_lowO2U</t>
  </si>
  <si>
    <t>modern_Bergman_lowCPsea</t>
  </si>
  <si>
    <t>preCambrian_Bergman_lowCPsea</t>
  </si>
  <si>
    <t>preCambrian_Corgbf0p5_Bergman_lowCPsea</t>
  </si>
  <si>
    <t>modern_Bergman_marginally_stable1</t>
  </si>
  <si>
    <t>preCambrian_Bergman_marginally_stable1</t>
  </si>
  <si>
    <t>preCambrian_Corgbf0p5_Bergman_marginally_stable1</t>
  </si>
  <si>
    <t>modern_Bergman_marginally_stable2</t>
  </si>
  <si>
    <t>preCambrian_Bergman_marginally_stable2</t>
  </si>
  <si>
    <t>preCambrian_Corgbf0p5_Bergman_marginally_stable2</t>
  </si>
  <si>
    <t>preCambrian_Bergman_unstable_baseline2</t>
  </si>
  <si>
    <t>preCambrian_Corgbf0p5_Bergman_unstable_baseline2</t>
  </si>
  <si>
    <t>preCambrian_Bergman_sharp_switch_unstable5</t>
  </si>
  <si>
    <t>preCambrian_Corgbf0p5_Bergman_sharp_switch_unstable5</t>
  </si>
  <si>
    <t>modern_Bergman_sharp_switch_unstable5_waveform</t>
  </si>
  <si>
    <t>preCambrian_Bergman_sharp_switch_unstable5_waveform</t>
  </si>
  <si>
    <t>preCambrian_Corgbf0p5_Bergman_sharp_switch_unstable5_waveform</t>
  </si>
  <si>
    <t>preCambrian_Bergman_sharp_switch_unstable5_waveform_sharpness1</t>
  </si>
  <si>
    <t>preCambrian_Bergman_sharp_switch_unstable5_waveform_sharpness2</t>
  </si>
  <si>
    <t>ID</t>
  </si>
  <si>
    <t>preCambrian_Bergman_sharp_switch_unstable5_waveform_sharpness3</t>
  </si>
  <si>
    <t>k_O2_U[1]</t>
  </si>
  <si>
    <t>k_O2_U[2]</t>
  </si>
  <si>
    <t>P_O_columns_FigS1_20231202.jl</t>
  </si>
  <si>
    <t>modern_Bergman_lowO2U</t>
    <phoneticPr fontId="1" type="noConversion"/>
  </si>
  <si>
    <t>preCambrian_Bergman_lowO2U</t>
    <phoneticPr fontId="1" type="noConversion"/>
  </si>
  <si>
    <t>preCambrian_Corgbf0p5_Bergman_lowO2U</t>
    <phoneticPr fontId="1" type="noConversion"/>
  </si>
  <si>
    <t>preCambrian_Bergman_neutrally_stable</t>
    <phoneticPr fontId="1" type="noConversion"/>
  </si>
  <si>
    <t>preCambrian_Bergman_sharp_switch_unstable5</t>
    <phoneticPr fontId="1" type="noConversion"/>
  </si>
  <si>
    <t>PO 5</t>
    <phoneticPr fontId="1" type="noConversion"/>
  </si>
  <si>
    <t>P_O_columns_Table2_sum_20231202.jl</t>
    <phoneticPr fontId="1" type="noConversion"/>
  </si>
  <si>
    <t>(1.61, 0.6)</t>
    <phoneticPr fontId="1" type="noConversion"/>
  </si>
  <si>
    <t>(1.23, 0.3)</t>
    <phoneticPr fontId="1" type="noConversion"/>
  </si>
  <si>
    <t>POA 14</t>
    <phoneticPr fontId="1" type="noConversion"/>
  </si>
  <si>
    <t>[0.1e7, 0.1e7+1.0e4]</t>
    <phoneticPr fontId="1" type="noConversion"/>
  </si>
  <si>
    <t>preCambrian_Bergman_sharp_switch_unstable5_Corgb2_Psilw_only_CO2pulse1</t>
    <phoneticPr fontId="1" type="noConversion"/>
  </si>
  <si>
    <t>preCambrian_Bergman_sharp_switch_unstable5_Corgb2_Psilw_only_CO2pulse2</t>
    <phoneticPr fontId="1" type="noConversion"/>
  </si>
  <si>
    <t>P_O_A_U_Table4_1_excitability_sum_20231202.jl</t>
    <phoneticPr fontId="1" type="noConversion"/>
  </si>
  <si>
    <t>preCambrian_Bergman_sharp_switch_unstable5_Corgb7_Psilw_only_rate1</t>
    <phoneticPr fontId="1" type="noConversion"/>
  </si>
  <si>
    <t>preCambrian_Bergman_sharp_switch_unstable5_Corgb7_Psilw_only_rate3</t>
    <phoneticPr fontId="1" type="noConversion"/>
  </si>
  <si>
    <t>preCambrian_Bergman_sharp_switch_unstable5_Corgb7_Psilw_only_rate5</t>
    <phoneticPr fontId="1" type="noConversion"/>
  </si>
  <si>
    <t>P_O_A_U_Table4_4_rate_sum_20231202.jl</t>
    <phoneticPr fontId="1" type="noConversion"/>
  </si>
  <si>
    <t>P_O_A_U_Table2_3D_sum_20231202.jl</t>
    <phoneticPr fontId="1" type="noConversion"/>
  </si>
  <si>
    <t>preCambrian_Bergman_Psilw_only</t>
    <phoneticPr fontId="1" type="noConversion"/>
  </si>
  <si>
    <t>preCambrian_Bergman_sharp_switch_unstable5_Corgb6_Psilw_only</t>
    <phoneticPr fontId="1" type="noConversion"/>
  </si>
  <si>
    <t>preCambrian_Bergman_sharp_switch_unstable5_Corgb4_Psilw_only</t>
  </si>
  <si>
    <t>Pw k_silw</t>
  </si>
  <si>
    <t>Pw k_carbw</t>
  </si>
  <si>
    <t>Pw k_oxidw</t>
  </si>
  <si>
    <t>Effect of marine burial Corg:P ratio oxic-anoxic change on the critical manifold</t>
    <phoneticPr fontId="1" type="noConversion"/>
  </si>
  <si>
    <t>Fixed intersection point, change the shape of the critical manifold</t>
    <phoneticPr fontId="1" type="noConversion"/>
  </si>
  <si>
    <t>Share the case S18, do the wave form tests</t>
    <phoneticPr fontId="1" type="noConversion"/>
  </si>
  <si>
    <t>PO T1</t>
    <phoneticPr fontId="1" type="noConversion"/>
  </si>
  <si>
    <t>PO T2</t>
    <phoneticPr fontId="1" type="noConversion"/>
  </si>
  <si>
    <t>PO T3</t>
    <phoneticPr fontId="1" type="noConversion"/>
  </si>
  <si>
    <t>Tested but not included in the paper</t>
    <phoneticPr fontId="1" type="noConversion"/>
  </si>
  <si>
    <t>PO T4</t>
    <phoneticPr fontId="1" type="noConversion"/>
  </si>
  <si>
    <t>PO T5</t>
    <phoneticPr fontId="1" type="noConversion"/>
  </si>
  <si>
    <t>PO T6</t>
    <phoneticPr fontId="1" type="noConversion"/>
  </si>
  <si>
    <t>PO T7</t>
    <phoneticPr fontId="1" type="noConversion"/>
  </si>
  <si>
    <t>PO T8</t>
    <phoneticPr fontId="1" type="noConversion"/>
  </si>
  <si>
    <t>PO T9</t>
    <phoneticPr fontId="1" type="noConversion"/>
  </si>
  <si>
    <t>PO T10</t>
    <phoneticPr fontId="1" type="noConversion"/>
  </si>
  <si>
    <t>PO T11</t>
    <phoneticPr fontId="1" type="noConversion"/>
  </si>
  <si>
    <t>PO T12</t>
    <phoneticPr fontId="1" type="noConversion"/>
  </si>
  <si>
    <t>(1.0, 0.17)</t>
    <phoneticPr fontId="1" type="noConversion"/>
  </si>
  <si>
    <t>(1.0, 0.016)</t>
    <phoneticPr fontId="1" type="noConversion"/>
  </si>
  <si>
    <t>(4.0, 4.67)</t>
    <phoneticPr fontId="1" type="noConversion"/>
  </si>
  <si>
    <t>(4.0, 1.0)</t>
    <phoneticPr fontId="1" type="noConversion"/>
  </si>
  <si>
    <t>(1.64, 0.63)</t>
    <phoneticPr fontId="1" type="noConversion"/>
  </si>
  <si>
    <t>(2.77, 0.42)</t>
    <phoneticPr fontId="1" type="noConversion"/>
  </si>
  <si>
    <t>(1.55, 0.54)</t>
    <phoneticPr fontId="1" type="noConversion"/>
  </si>
  <si>
    <t>(2.0, 0.17)</t>
    <phoneticPr fontId="1" type="noConversion"/>
  </si>
  <si>
    <t>(2.40, 0.56)</t>
    <phoneticPr fontId="1" type="noConversion"/>
  </si>
  <si>
    <t>preCambrian_Bergman_sharp_switch_unstable5_waveform_sharpness0</t>
    <phoneticPr fontId="1" type="noConversion"/>
  </si>
  <si>
    <t>preCambrian_Bergman_sharp_switch_unstable5_waveform_sharpness4</t>
    <phoneticPr fontId="1" type="noConversion"/>
  </si>
  <si>
    <t>Fig.3, Fig.S8</t>
    <phoneticPr fontId="1" type="noConversion"/>
  </si>
  <si>
    <t>(1.77, 0.31, 4.07)</t>
    <phoneticPr fontId="1" type="noConversion"/>
  </si>
  <si>
    <t>(1.68, 0.38, 4.07)</t>
    <phoneticPr fontId="1" type="noConversion"/>
  </si>
  <si>
    <t>Rate dependent oxic increase degassing</t>
    <phoneticPr fontId="1" type="noConversion"/>
  </si>
  <si>
    <t>preCambrian_Bergman_sharp_switch_unstable5_Corgb2_Psilw_only_rate1</t>
    <phoneticPr fontId="1" type="noConversion"/>
  </si>
  <si>
    <t>preCambrian_Bergman_sharp_switch_unstable5_Corgb2_Psilw_only_rate3</t>
    <phoneticPr fontId="1" type="noConversion"/>
  </si>
  <si>
    <t>preCambrian_Bergman_sharp_switch_unstable5_Corgb2_Psilw_only_rate5</t>
    <phoneticPr fontId="1" type="noConversion"/>
  </si>
  <si>
    <t>P_O_A_U_Table4_1_rate_sum_20231130.jl</t>
    <phoneticPr fontId="1" type="noConversion"/>
  </si>
  <si>
    <t>(1.0, 0.32, 4.07)</t>
    <phoneticPr fontId="1" type="noConversion"/>
  </si>
  <si>
    <t>[0, 0, 3.5e12, 3.5e12]</t>
    <phoneticPr fontId="1" type="noConversion"/>
  </si>
  <si>
    <t>Intersection</t>
    <phoneticPr fontId="1" type="noConversion"/>
  </si>
  <si>
    <t>POA I8</t>
    <phoneticPr fontId="1" type="noConversion"/>
  </si>
  <si>
    <t>POA I9</t>
    <phoneticPr fontId="1" type="noConversion"/>
  </si>
  <si>
    <t>POA I11</t>
    <phoneticPr fontId="1" type="noConversion"/>
  </si>
  <si>
    <t>POA I12</t>
    <phoneticPr fontId="1" type="noConversion"/>
  </si>
  <si>
    <t>POA I13</t>
    <phoneticPr fontId="1" type="noConversion"/>
  </si>
  <si>
    <t>POA I10</t>
    <phoneticPr fontId="1" type="noConversion"/>
  </si>
  <si>
    <t>P_O_A_U_Table6_grid_search_fix_intersection.jl</t>
    <phoneticPr fontId="1" type="noConversion"/>
  </si>
  <si>
    <t>preCambrian_Bergman_sharp_switch_unstable5_Corgp65_Psilw_only</t>
    <phoneticPr fontId="1" type="noConversion"/>
  </si>
  <si>
    <t>preCambrian_Bergman_sharp_switch_unstable5_Corgp65_Psilw_only_sharpness0</t>
    <phoneticPr fontId="1" type="noConversion"/>
  </si>
  <si>
    <t>preCambrian_Bergman_sharp_switch_unstable5_Corgp65_Psilw_only_sharpness4</t>
    <phoneticPr fontId="1" type="noConversion"/>
  </si>
  <si>
    <t>preCambrian_Bergman_sharp_switch_unstable5_Corgp65_Psilw_only_sharpness2</t>
    <phoneticPr fontId="1" type="noConversion"/>
  </si>
  <si>
    <t>preCambrian_Bergman_sharp_switch_unstable5_Corgp65_Psilw_only_sharpness1</t>
    <phoneticPr fontId="1" type="noConversion"/>
  </si>
  <si>
    <t>preCambrian_Bergman_sharp_switch_unstable5_Corgp65_Psilw_only_sharpness3</t>
    <phoneticPr fontId="1" type="noConversion"/>
  </si>
  <si>
    <t>POA I14</t>
    <phoneticPr fontId="1" type="noConversion"/>
  </si>
  <si>
    <t>POA I15</t>
    <phoneticPr fontId="1" type="noConversion"/>
  </si>
  <si>
    <t>POA I16</t>
    <phoneticPr fontId="1" type="noConversion"/>
  </si>
  <si>
    <t>POA I17</t>
    <phoneticPr fontId="1" type="noConversion"/>
  </si>
  <si>
    <t>POA I18</t>
    <phoneticPr fontId="1" type="noConversion"/>
  </si>
  <si>
    <t>POA I19</t>
    <phoneticPr fontId="1" type="noConversion"/>
  </si>
  <si>
    <t>preCambrian_Bergman_sharp_switch_unstable5_Corg1p0_Psilw_only</t>
    <phoneticPr fontId="1" type="noConversion"/>
  </si>
  <si>
    <t>preCambrian_Bergman_sharp_switch_unstable5_Corg1p0_Psilw_only_sharpness0</t>
    <phoneticPr fontId="1" type="noConversion"/>
  </si>
  <si>
    <t>preCambrian_Bergman_sharp_switch_unstable5_Corg1p0_Psilw_only_sharpness4</t>
    <phoneticPr fontId="1" type="noConversion"/>
  </si>
  <si>
    <t>preCambrian_Bergman_sharp_switch_unstable5_Corg1p0_Psilw_only_sharpness3</t>
    <phoneticPr fontId="1" type="noConversion"/>
  </si>
  <si>
    <t>preCambrian_Bergman_sharp_switch_unstable5_Corg1p0_Psilw_only_sharpness2</t>
    <phoneticPr fontId="1" type="noConversion"/>
  </si>
  <si>
    <t>preCambrian_Bergman_sharp_switch_unstable5_Corg1p0_Psilw_only_sharpness1</t>
    <phoneticPr fontId="1" type="noConversion"/>
  </si>
  <si>
    <t>preCambrian_Bergman_sharp_switch_unstable5_Corgp5_Psilw_only</t>
    <phoneticPr fontId="1" type="noConversion"/>
  </si>
  <si>
    <t>preCambrian_Bergman_sharp_switch_unstable5_Corgp5_Psilw_only_sharpness0</t>
    <phoneticPr fontId="1" type="noConversion"/>
  </si>
  <si>
    <t>preCambrian_Bergman_sharp_switch_unstable5_Corgp5_Psilw_only_sharpness4</t>
    <phoneticPr fontId="1" type="noConversion"/>
  </si>
  <si>
    <t>preCambrian_Bergman_sharp_switch_unstable5_Corgp5_Psilw_only_sharpness3</t>
    <phoneticPr fontId="1" type="noConversion"/>
  </si>
  <si>
    <t>preCambrian_Bergman_sharp_switch_unstable5_Corgp5_Psilw_only_sharpness2</t>
    <phoneticPr fontId="1" type="noConversion"/>
  </si>
  <si>
    <t>preCambrian_Bergman_sharp_switch_unstable5_Corgp5_Psilw_only_sharpness1</t>
    <phoneticPr fontId="1" type="noConversion"/>
  </si>
  <si>
    <t>POA I20</t>
    <phoneticPr fontId="1" type="noConversion"/>
  </si>
  <si>
    <t>POA I21</t>
    <phoneticPr fontId="1" type="noConversion"/>
  </si>
  <si>
    <t>POA I22</t>
    <phoneticPr fontId="1" type="noConversion"/>
  </si>
  <si>
    <t>POA I23</t>
    <phoneticPr fontId="1" type="noConversion"/>
  </si>
  <si>
    <t>POA I24</t>
    <phoneticPr fontId="1" type="noConversion"/>
  </si>
  <si>
    <t>POA I25</t>
    <phoneticPr fontId="1" type="noConversion"/>
  </si>
  <si>
    <t>(2.4, 0.55, 4.07)</t>
    <phoneticPr fontId="1" type="noConversion"/>
  </si>
  <si>
    <t>(2.39, 0.55, 4.07)</t>
    <phoneticPr fontId="1" type="noConversion"/>
  </si>
  <si>
    <t>(2.41, 0.56, 4.07)</t>
    <phoneticPr fontId="1" type="noConversion"/>
  </si>
  <si>
    <t>(1.23, 0.3, 4.07)</t>
    <phoneticPr fontId="1" type="noConversion"/>
  </si>
  <si>
    <t>(1.58, 0.57, 4.07)</t>
    <phoneticPr fontId="1" type="noConversion"/>
  </si>
  <si>
    <t>(1.56, 0.56, 4.07)</t>
    <phoneticPr fontId="1" type="noConversion"/>
  </si>
  <si>
    <t>(1.54, 0.54, 4.07)</t>
    <phoneticPr fontId="1" type="noConversion"/>
  </si>
  <si>
    <t>(1.52, 0.52, 4.07)</t>
    <phoneticPr fontId="1" type="noConversion"/>
  </si>
  <si>
    <t>(1.43, 0.45, 4.07)</t>
    <phoneticPr fontId="1" type="noConversion"/>
  </si>
  <si>
    <t>(3.09, 0.54, 4.07)</t>
    <phoneticPr fontId="1" type="noConversion"/>
  </si>
  <si>
    <t>(3.7, 0.83, 4.07)</t>
    <phoneticPr fontId="1" type="noConversion"/>
  </si>
  <si>
    <t>(3.36, 0.66, 4.07)</t>
    <phoneticPr fontId="1" type="noConversion"/>
  </si>
  <si>
    <t>(3.19, 0.59, 4.07)</t>
    <phoneticPr fontId="1" type="noConversion"/>
  </si>
  <si>
    <t>(3.13, 0.56, 4.07)</t>
    <phoneticPr fontId="1" type="noConversion"/>
  </si>
  <si>
    <t>(3.12, 0.55, 4.07)</t>
    <phoneticPr fontId="1" type="noConversion"/>
  </si>
  <si>
    <t>Sharpness</t>
    <phoneticPr fontId="1" type="noConversion"/>
  </si>
  <si>
    <t>sharpness</t>
  </si>
  <si>
    <t>Corg/Ptotal ox</t>
  </si>
  <si>
    <t>Corg/Ptotal anox</t>
  </si>
  <si>
    <t>preCambrian_Bergman_sharp_switch_unstable5_Corgb4_Psilw_only_lowkanox</t>
    <phoneticPr fontId="1" type="noConversion"/>
  </si>
  <si>
    <t>(1.96, 0.41, 4.07)</t>
    <phoneticPr fontId="1" type="noConversion"/>
  </si>
  <si>
    <t>k_anox</t>
    <phoneticPr fontId="1" type="noConversion"/>
  </si>
  <si>
    <t>Fig.3, Fig.S9</t>
    <phoneticPr fontId="1" type="noConversion"/>
  </si>
  <si>
    <t>Fig. S13</t>
    <phoneticPr fontId="1" type="noConversion"/>
  </si>
  <si>
    <t>Fig. S14</t>
    <phoneticPr fontId="1" type="noConversion"/>
  </si>
  <si>
    <t>P_O_columns_Table2_sum_20231202.jl</t>
  </si>
  <si>
    <t>const.</t>
  </si>
  <si>
    <t>-</t>
  </si>
  <si>
    <t>(7.75, 4.5)</t>
  </si>
  <si>
    <t>(6.65, 13.35)</t>
  </si>
  <si>
    <t>Fig.2</t>
  </si>
  <si>
    <t>PO 6</t>
    <phoneticPr fontId="1" type="noConversion"/>
  </si>
  <si>
    <t>PO 7</t>
    <phoneticPr fontId="1" type="noConversion"/>
  </si>
  <si>
    <t>PO 8</t>
    <phoneticPr fontId="1" type="noConversion"/>
  </si>
  <si>
    <t>PO 9</t>
    <phoneticPr fontId="1" type="noConversion"/>
  </si>
  <si>
    <t>(3.7, 0.83)</t>
    <phoneticPr fontId="1" type="noConversion"/>
  </si>
  <si>
    <t>(3.21, 0.59)</t>
    <phoneticPr fontId="1" type="noConversion"/>
  </si>
  <si>
    <t>POA 15</t>
    <phoneticPr fontId="1" type="noConversion"/>
  </si>
  <si>
    <t>POA 16</t>
    <phoneticPr fontId="1" type="noConversion"/>
  </si>
  <si>
    <t>POA 17</t>
    <phoneticPr fontId="1" type="noConversion"/>
  </si>
  <si>
    <t>POA 18</t>
    <phoneticPr fontId="1" type="noConversion"/>
  </si>
  <si>
    <t>[0, 1.5e7, 1.5e7+0.5e7, 1e8]</t>
  </si>
  <si>
    <t>[0, 1.5e7, 1.5e7+0.1e7, 1e8]</t>
  </si>
  <si>
    <t>modern_Bergman_sharp_switch_stable_oxic_Ppulse_rate4</t>
    <phoneticPr fontId="1" type="noConversion"/>
  </si>
  <si>
    <t>modern_Bergman_lowO2U_Ppulse_rate1</t>
    <phoneticPr fontId="1" type="noConversion"/>
  </si>
  <si>
    <t>modern_Bergman_lowO2U_Ppulse_rate2</t>
    <phoneticPr fontId="1" type="noConversion"/>
  </si>
  <si>
    <t>modern_Bergman_lowO2U_Ppulse_rate3</t>
    <phoneticPr fontId="1" type="noConversion"/>
  </si>
  <si>
    <t>modern_Bergman_lowO2U_Ppulse_rate4</t>
    <phoneticPr fontId="1" type="noConversion"/>
  </si>
  <si>
    <t>P_O_A_U_Table3_1_20231227.jl</t>
    <phoneticPr fontId="1" type="noConversion"/>
  </si>
  <si>
    <t>(0.19, 0.5)</t>
    <phoneticPr fontId="1" type="noConversion"/>
  </si>
  <si>
    <t>(0.375, 0.62)</t>
    <phoneticPr fontId="1" type="noConversion"/>
  </si>
  <si>
    <t>[-20e9, -20e9, 0, 0]</t>
    <phoneticPr fontId="1" type="noConversion"/>
  </si>
  <si>
    <t>Fig.6</t>
    <phoneticPr fontId="1" type="noConversion"/>
  </si>
  <si>
    <t>PO 10</t>
    <phoneticPr fontId="1" type="noConversion"/>
  </si>
  <si>
    <t>PO 11</t>
    <phoneticPr fontId="1" type="noConversion"/>
  </si>
  <si>
    <t>PO 12</t>
  </si>
  <si>
    <t>PO 13</t>
  </si>
  <si>
    <t>PO 14</t>
  </si>
  <si>
    <t>PO 15</t>
  </si>
  <si>
    <t>PO 16</t>
  </si>
  <si>
    <t>PO 17</t>
  </si>
  <si>
    <t>PO 18</t>
  </si>
  <si>
    <t>PO 19</t>
  </si>
  <si>
    <t>modern_Bergman_neutrally_stable</t>
    <phoneticPr fontId="1" type="noConversion"/>
  </si>
  <si>
    <t>preCambrian_Corgbf0p5_Bergman_neutrally_stable</t>
    <phoneticPr fontId="1" type="noConversion"/>
  </si>
  <si>
    <t>preCambrian_Corgbf0p5_Bergman_sharp_switch_unstable5</t>
    <phoneticPr fontId="1" type="noConversion"/>
  </si>
  <si>
    <t>PO 1013</t>
    <phoneticPr fontId="1" type="noConversion"/>
  </si>
  <si>
    <t>PO 1014</t>
    <phoneticPr fontId="1" type="noConversion"/>
  </si>
  <si>
    <t>PO 1015</t>
    <phoneticPr fontId="1" type="noConversion"/>
  </si>
  <si>
    <t>PO 1016</t>
    <phoneticPr fontId="1" type="noConversion"/>
  </si>
  <si>
    <t>PO 1017</t>
    <phoneticPr fontId="1" type="noConversion"/>
  </si>
  <si>
    <t>PO 1018</t>
    <phoneticPr fontId="1" type="noConversion"/>
  </si>
  <si>
    <t>PO 1019</t>
    <phoneticPr fontId="1" type="noConversion"/>
  </si>
  <si>
    <t>PO 1020</t>
    <phoneticPr fontId="1" type="noConversion"/>
  </si>
  <si>
    <t>POA 1027</t>
    <phoneticPr fontId="1" type="noConversion"/>
  </si>
  <si>
    <t>POA 1028</t>
    <phoneticPr fontId="1" type="noConversion"/>
  </si>
  <si>
    <t>POA 1029</t>
    <phoneticPr fontId="1" type="noConversion"/>
  </si>
  <si>
    <t>POA 1030</t>
    <phoneticPr fontId="1" type="noConversion"/>
  </si>
  <si>
    <t>POA 1031</t>
    <phoneticPr fontId="1" type="noConversion"/>
  </si>
  <si>
    <t>POA 1032</t>
    <phoneticPr fontId="1" type="noConversion"/>
  </si>
  <si>
    <t>POA 1033</t>
    <phoneticPr fontId="1" type="noConversion"/>
  </si>
  <si>
    <t>POA 1034</t>
    <phoneticPr fontId="1" type="noConversion"/>
  </si>
  <si>
    <t>POA 1035</t>
    <phoneticPr fontId="1" type="noConversion"/>
  </si>
  <si>
    <t>POA 1036</t>
    <phoneticPr fontId="1" type="noConversion"/>
  </si>
  <si>
    <t>POA 1037</t>
    <phoneticPr fontId="1" type="noConversion"/>
  </si>
  <si>
    <t>POA 1038</t>
    <phoneticPr fontId="1" type="noConversion"/>
  </si>
  <si>
    <t>Fig.S6, Fig.S7</t>
    <phoneticPr fontId="1" type="noConversion"/>
  </si>
  <si>
    <t>Fig.S7</t>
    <phoneticPr fontId="1" type="noConversion"/>
  </si>
  <si>
    <t>Fig. S15</t>
    <phoneticPr fontId="1" type="noConversion"/>
  </si>
  <si>
    <t>Variable/Process</t>
    <phoneticPr fontId="1" type="noConversion"/>
  </si>
  <si>
    <t>Equations</t>
    <phoneticPr fontId="1" type="noConversion"/>
  </si>
  <si>
    <t>Units</t>
    <phoneticPr fontId="1" type="noConversion"/>
  </si>
  <si>
    <t>References/Notes</t>
    <phoneticPr fontId="1" type="noConversion"/>
  </si>
  <si>
    <t>Key variables</t>
  </si>
  <si>
    <t>Atmosphere pCO2</t>
    <phoneticPr fontId="1" type="noConversion"/>
  </si>
  <si>
    <t>Pre-plant weathering pCO2 dependence</t>
    <phoneticPr fontId="1" type="noConversion"/>
  </si>
  <si>
    <t>Kinetics granite temperature dependence</t>
    <phoneticPr fontId="1" type="noConversion"/>
  </si>
  <si>
    <t>Kinetics basalt temperature dependence</t>
  </si>
  <si>
    <t>Runoff silicate temperature dependence</t>
  </si>
  <si>
    <t>Runoff carbonate temperature dependence</t>
  </si>
  <si>
    <t>Carbon ﬂuxes</t>
  </si>
  <si>
    <t>Granite weathering</t>
  </si>
  <si>
    <t>Basalt weathering</t>
  </si>
  <si>
    <t>Silicate weathering</t>
  </si>
  <si>
    <t>Carbonate weathering</t>
  </si>
  <si>
    <t>Organic C oxidation</t>
  </si>
  <si>
    <t>Organic C degassing</t>
  </si>
  <si>
    <t>Carbonate degassing</t>
  </si>
  <si>
    <t>Terrestrial Corg burial</t>
    <phoneticPr fontId="1" type="noConversion"/>
  </si>
  <si>
    <t>Phosphorus ﬂuxes</t>
  </si>
  <si>
    <t>Fraction of P weathering from silicate</t>
    <phoneticPr fontId="1" type="noConversion"/>
  </si>
  <si>
    <t>Fraction of P weathering from carbonate</t>
  </si>
  <si>
    <t>Fraction of P weathering from organic matter</t>
  </si>
  <si>
    <t>Reactive P weathering</t>
  </si>
  <si>
    <t>Reactive P weathering to ocean</t>
  </si>
  <si>
    <t>PAL</t>
    <phoneticPr fontId="1" type="noConversion"/>
  </si>
  <si>
    <t>K</t>
    <phoneticPr fontId="1" type="noConversion"/>
  </si>
  <si>
    <t>COPSE**</t>
    <phoneticPr fontId="1" type="noConversion"/>
  </si>
  <si>
    <t>GEOCARB*, COPSE**</t>
    <phoneticPr fontId="1" type="noConversion"/>
  </si>
  <si>
    <t>COPSE*,**</t>
    <phoneticPr fontId="1" type="noConversion"/>
  </si>
  <si>
    <t>GEOCARB*, COPSE*,**</t>
    <phoneticPr fontId="1" type="noConversion"/>
  </si>
  <si>
    <t>mol C yr-1</t>
    <phoneticPr fontId="1" type="noConversion"/>
  </si>
  <si>
    <t>locb = 0</t>
    <phoneticPr fontId="1" type="noConversion"/>
  </si>
  <si>
    <t xml:space="preserve">option: 4.5e12 </t>
    <phoneticPr fontId="1" type="noConversion"/>
  </si>
  <si>
    <r>
      <t>pCO</t>
    </r>
    <r>
      <rPr>
        <vertAlign val="subscript"/>
        <sz val="11"/>
        <color theme="1"/>
        <rFont val="Arial"/>
        <family val="2"/>
      </rPr>
      <t>2</t>
    </r>
    <r>
      <rPr>
        <sz val="12"/>
        <color theme="1"/>
        <rFont val="Arial"/>
        <family val="2"/>
      </rPr>
      <t xml:space="preserve"> = (A/A</t>
    </r>
    <r>
      <rPr>
        <vertAlign val="subscript"/>
        <sz val="12"/>
        <color theme="1"/>
        <rFont val="Arial"/>
        <family val="2"/>
      </rPr>
      <t>0</t>
    </r>
    <r>
      <rPr>
        <sz val="12"/>
        <color theme="1"/>
        <rFont val="Arial"/>
        <family val="2"/>
      </rPr>
      <t>)</t>
    </r>
    <r>
      <rPr>
        <vertAlign val="superscript"/>
        <sz val="12"/>
        <color theme="1"/>
        <rFont val="Arial"/>
        <family val="2"/>
      </rPr>
      <t>2</t>
    </r>
    <phoneticPr fontId="1" type="noConversion"/>
  </si>
  <si>
    <t>Global temperature relative to 15 ˙C</t>
    <phoneticPr fontId="1" type="noConversion"/>
  </si>
  <si>
    <t>silw = granw + basw</t>
    <phoneticPr fontId="1" type="noConversion"/>
  </si>
  <si>
    <r>
      <t>∆T = k</t>
    </r>
    <r>
      <rPr>
        <vertAlign val="subscript"/>
        <sz val="12"/>
        <color theme="1"/>
        <rFont val="Arial"/>
        <family val="2"/>
      </rPr>
      <t>CO2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Cambria"/>
        <family val="1"/>
      </rPr>
      <t>*</t>
    </r>
    <r>
      <rPr>
        <sz val="12"/>
        <color theme="1"/>
        <rFont val="Arial"/>
        <family val="2"/>
      </rPr>
      <t xml:space="preserve"> ln(pCO</t>
    </r>
    <r>
      <rPr>
        <vertAlign val="subscript"/>
        <sz val="12"/>
        <color theme="1"/>
        <rFont val="Arial"/>
        <family val="2"/>
      </rPr>
      <t>2</t>
    </r>
    <r>
      <rPr>
        <sz val="12"/>
        <color theme="1"/>
        <rFont val="Arial"/>
        <family val="2"/>
      </rPr>
      <t xml:space="preserve">) </t>
    </r>
    <r>
      <rPr>
        <sz val="12"/>
        <color theme="1"/>
        <rFont val="Times New Roman"/>
        <family val="1"/>
        <charset val="134"/>
      </rPr>
      <t>−</t>
    </r>
    <r>
      <rPr>
        <sz val="12"/>
        <color theme="1"/>
        <rFont val="Arial"/>
        <family val="2"/>
      </rPr>
      <t xml:space="preserve"> k</t>
    </r>
    <r>
      <rPr>
        <vertAlign val="subscript"/>
        <sz val="12"/>
        <color theme="1"/>
        <rFont val="Arial"/>
        <family val="2"/>
      </rPr>
      <t>SL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Cambria"/>
        <family val="1"/>
      </rPr>
      <t>*</t>
    </r>
    <r>
      <rPr>
        <sz val="12"/>
        <color theme="1"/>
        <rFont val="Arial"/>
        <family val="2"/>
      </rPr>
      <t xml:space="preserve"> (age/570Ma)</t>
    </r>
    <phoneticPr fontId="1" type="noConversion"/>
  </si>
  <si>
    <r>
      <t>g</t>
    </r>
    <r>
      <rPr>
        <vertAlign val="subscript"/>
        <sz val="12"/>
        <color theme="1"/>
        <rFont val="Arial"/>
        <family val="2"/>
      </rPr>
      <t>runoff</t>
    </r>
    <r>
      <rPr>
        <sz val="12"/>
        <color theme="1"/>
        <rFont val="Arial"/>
        <family val="2"/>
      </rPr>
      <t xml:space="preserve"> = 1+0.087 * ∆T</t>
    </r>
    <phoneticPr fontId="1" type="noConversion"/>
  </si>
  <si>
    <r>
      <t>f</t>
    </r>
    <r>
      <rPr>
        <vertAlign val="subscript"/>
        <sz val="12"/>
        <color theme="1"/>
        <rFont val="Arial"/>
        <family val="2"/>
      </rPr>
      <t>preplant</t>
    </r>
    <r>
      <rPr>
        <sz val="12"/>
        <color theme="1"/>
        <rFont val="Arial"/>
        <family val="2"/>
      </rPr>
      <t xml:space="preserve"> = k</t>
    </r>
    <r>
      <rPr>
        <vertAlign val="subscript"/>
        <sz val="12"/>
        <color theme="1"/>
        <rFont val="Arial"/>
        <family val="2"/>
      </rPr>
      <t xml:space="preserve">15 </t>
    </r>
    <r>
      <rPr>
        <sz val="12"/>
        <color theme="1"/>
        <rFont val="Arial"/>
        <family val="2"/>
      </rPr>
      <t>* (pCO</t>
    </r>
    <r>
      <rPr>
        <vertAlign val="subscript"/>
        <sz val="11"/>
        <color theme="1"/>
        <rFont val="Arial"/>
        <family val="2"/>
      </rPr>
      <t>2</t>
    </r>
    <r>
      <rPr>
        <sz val="12"/>
        <color theme="1"/>
        <rFont val="Arial"/>
        <family val="2"/>
      </rPr>
      <t>)</t>
    </r>
    <r>
      <rPr>
        <vertAlign val="superscript"/>
        <sz val="12"/>
        <color theme="1"/>
        <rFont val="Arial"/>
        <family val="2"/>
      </rPr>
      <t>0.5</t>
    </r>
    <phoneticPr fontId="1" type="noConversion"/>
  </si>
  <si>
    <r>
      <t>f</t>
    </r>
    <r>
      <rPr>
        <vertAlign val="subscript"/>
        <sz val="12"/>
        <color theme="1"/>
        <rFont val="Arial"/>
        <family val="2"/>
      </rPr>
      <t>Tgran</t>
    </r>
    <r>
      <rPr>
        <sz val="12"/>
        <color theme="1"/>
        <rFont val="Arial"/>
        <family val="2"/>
      </rPr>
      <t xml:space="preserve"> = exp(k</t>
    </r>
    <r>
      <rPr>
        <vertAlign val="subscript"/>
        <sz val="12"/>
        <color theme="1"/>
        <rFont val="Arial"/>
        <family val="2"/>
      </rPr>
      <t xml:space="preserve">Tgran </t>
    </r>
    <r>
      <rPr>
        <sz val="12"/>
        <color theme="1"/>
        <rFont val="Arial"/>
        <family val="2"/>
      </rPr>
      <t>* ∆T)</t>
    </r>
    <phoneticPr fontId="1" type="noConversion"/>
  </si>
  <si>
    <r>
      <t>f</t>
    </r>
    <r>
      <rPr>
        <vertAlign val="subscript"/>
        <sz val="12"/>
        <color theme="1"/>
        <rFont val="Arial"/>
        <family val="2"/>
      </rPr>
      <t>Tbas</t>
    </r>
    <r>
      <rPr>
        <sz val="12"/>
        <color theme="1"/>
        <rFont val="Arial"/>
        <family val="2"/>
      </rPr>
      <t xml:space="preserve"> = exp(k</t>
    </r>
    <r>
      <rPr>
        <vertAlign val="subscript"/>
        <sz val="12"/>
        <color theme="1"/>
        <rFont val="Arial"/>
        <family val="2"/>
      </rPr>
      <t xml:space="preserve">Tbas </t>
    </r>
    <r>
      <rPr>
        <sz val="12"/>
        <color theme="1"/>
        <rFont val="Arial"/>
        <family val="2"/>
      </rPr>
      <t>* ∆T)</t>
    </r>
    <phoneticPr fontId="1" type="noConversion"/>
  </si>
  <si>
    <r>
      <t>f</t>
    </r>
    <r>
      <rPr>
        <vertAlign val="subscript"/>
        <sz val="12"/>
        <color theme="1"/>
        <rFont val="Arial"/>
        <family val="2"/>
      </rPr>
      <t>runoff</t>
    </r>
    <r>
      <rPr>
        <sz val="12"/>
        <color theme="1"/>
        <rFont val="Arial"/>
        <family val="2"/>
      </rPr>
      <t xml:space="preserve"> = (1+0.038 * ∆T)</t>
    </r>
    <r>
      <rPr>
        <vertAlign val="superscript"/>
        <sz val="12"/>
        <color theme="1"/>
        <rFont val="Arial"/>
        <family val="2"/>
      </rPr>
      <t>0.65</t>
    </r>
    <phoneticPr fontId="1" type="noConversion"/>
  </si>
  <si>
    <r>
      <t>carbw = k</t>
    </r>
    <r>
      <rPr>
        <vertAlign val="subscript"/>
        <sz val="12"/>
        <color theme="1"/>
        <rFont val="Arial"/>
        <family val="2"/>
      </rPr>
      <t xml:space="preserve">14 </t>
    </r>
    <r>
      <rPr>
        <sz val="12"/>
        <color theme="1"/>
        <rFont val="Arial"/>
        <family val="2"/>
      </rPr>
      <t>* U * g</t>
    </r>
    <r>
      <rPr>
        <vertAlign val="subscript"/>
        <sz val="12"/>
        <color theme="1"/>
        <rFont val="Arial"/>
        <family val="2"/>
      </rPr>
      <t xml:space="preserve">runoff </t>
    </r>
    <r>
      <rPr>
        <sz val="12"/>
        <color theme="1"/>
        <rFont val="Arial"/>
        <family val="2"/>
      </rPr>
      <t>* f</t>
    </r>
    <r>
      <rPr>
        <vertAlign val="subscript"/>
        <sz val="12"/>
        <color theme="1"/>
        <rFont val="Arial"/>
        <family val="2"/>
      </rPr>
      <t>preplant</t>
    </r>
    <phoneticPr fontId="1" type="noConversion"/>
  </si>
  <si>
    <r>
      <t>oxidw = k</t>
    </r>
    <r>
      <rPr>
        <vertAlign val="subscript"/>
        <sz val="12"/>
        <color theme="1"/>
        <rFont val="Arial"/>
        <family val="2"/>
      </rPr>
      <t xml:space="preserve">17 </t>
    </r>
    <r>
      <rPr>
        <sz val="12"/>
        <color theme="1"/>
        <rFont val="Arial"/>
        <family val="2"/>
      </rPr>
      <t>* U * (O/O</t>
    </r>
    <r>
      <rPr>
        <vertAlign val="subscript"/>
        <sz val="12"/>
        <color theme="1"/>
        <rFont val="Arial"/>
        <family val="2"/>
      </rPr>
      <t>0</t>
    </r>
    <r>
      <rPr>
        <sz val="12"/>
        <color theme="1"/>
        <rFont val="Arial"/>
        <family val="2"/>
      </rPr>
      <t>)</t>
    </r>
    <r>
      <rPr>
        <vertAlign val="superscript"/>
        <sz val="12"/>
        <color theme="1"/>
        <rFont val="Arial"/>
        <family val="2"/>
      </rPr>
      <t>0.5</t>
    </r>
    <phoneticPr fontId="1" type="noConversion"/>
  </si>
  <si>
    <r>
      <t>ocdeg = k</t>
    </r>
    <r>
      <rPr>
        <vertAlign val="subscript"/>
        <sz val="12"/>
        <color theme="1"/>
        <rFont val="Arial"/>
        <family val="2"/>
      </rPr>
      <t xml:space="preserve">13 </t>
    </r>
    <r>
      <rPr>
        <sz val="12"/>
        <color theme="1"/>
        <rFont val="Arial"/>
        <family val="2"/>
      </rPr>
      <t>* D</t>
    </r>
    <phoneticPr fontId="1" type="noConversion"/>
  </si>
  <si>
    <r>
      <t>ccdeg = k</t>
    </r>
    <r>
      <rPr>
        <vertAlign val="subscript"/>
        <sz val="12"/>
        <color theme="1"/>
        <rFont val="Arial"/>
        <family val="2"/>
      </rPr>
      <t xml:space="preserve">12 </t>
    </r>
    <r>
      <rPr>
        <sz val="12"/>
        <color theme="1"/>
        <rFont val="Arial"/>
        <family val="2"/>
      </rPr>
      <t>* D</t>
    </r>
    <phoneticPr fontId="1" type="noConversion"/>
  </si>
  <si>
    <r>
      <t>basw = k</t>
    </r>
    <r>
      <rPr>
        <vertAlign val="subscript"/>
        <sz val="12"/>
        <color theme="1"/>
        <rFont val="Arial"/>
        <family val="2"/>
      </rPr>
      <t>basw</t>
    </r>
    <r>
      <rPr>
        <sz val="12"/>
        <color theme="1"/>
        <rFont val="Arial"/>
        <family val="2"/>
      </rPr>
      <t xml:space="preserve"> * a</t>
    </r>
    <r>
      <rPr>
        <vertAlign val="subscript"/>
        <sz val="12"/>
        <color theme="1"/>
        <rFont val="Arial"/>
        <family val="2"/>
      </rPr>
      <t>bas</t>
    </r>
    <r>
      <rPr>
        <sz val="12"/>
        <color theme="1"/>
        <rFont val="Arial"/>
        <family val="2"/>
      </rPr>
      <t xml:space="preserve"> * f</t>
    </r>
    <r>
      <rPr>
        <vertAlign val="subscript"/>
        <sz val="12"/>
        <color theme="1"/>
        <rFont val="Arial"/>
        <family val="2"/>
      </rPr>
      <t>Tbas</t>
    </r>
    <r>
      <rPr>
        <sz val="12"/>
        <color theme="1"/>
        <rFont val="Arial"/>
        <family val="2"/>
      </rPr>
      <t xml:space="preserve"> *  f</t>
    </r>
    <r>
      <rPr>
        <vertAlign val="subscript"/>
        <sz val="12"/>
        <color theme="1"/>
        <rFont val="Arial"/>
        <family val="2"/>
      </rPr>
      <t>runoff</t>
    </r>
    <r>
      <rPr>
        <sz val="12"/>
        <color theme="1"/>
        <rFont val="Arial"/>
        <family val="2"/>
      </rPr>
      <t xml:space="preserve"> * f</t>
    </r>
    <r>
      <rPr>
        <vertAlign val="subscript"/>
        <sz val="12"/>
        <color theme="1"/>
        <rFont val="Arial"/>
        <family val="2"/>
      </rPr>
      <t>preplant</t>
    </r>
    <phoneticPr fontId="1" type="noConversion"/>
  </si>
  <si>
    <r>
      <t>granw = k</t>
    </r>
    <r>
      <rPr>
        <vertAlign val="subscript"/>
        <sz val="12"/>
        <color theme="1"/>
        <rFont val="Arial"/>
        <family val="2"/>
      </rPr>
      <t>granw</t>
    </r>
    <r>
      <rPr>
        <sz val="12"/>
        <color theme="1"/>
        <rFont val="Arial"/>
        <family val="2"/>
      </rPr>
      <t xml:space="preserve"> * U * a</t>
    </r>
    <r>
      <rPr>
        <vertAlign val="subscript"/>
        <sz val="12"/>
        <color theme="1"/>
        <rFont val="Arial"/>
        <family val="2"/>
      </rPr>
      <t>gran</t>
    </r>
    <r>
      <rPr>
        <sz val="12"/>
        <color theme="1"/>
        <rFont val="Arial"/>
        <family val="2"/>
      </rPr>
      <t xml:space="preserve"> * f</t>
    </r>
    <r>
      <rPr>
        <vertAlign val="subscript"/>
        <sz val="12"/>
        <color theme="1"/>
        <rFont val="Arial"/>
        <family val="2"/>
      </rPr>
      <t>Tgran</t>
    </r>
    <r>
      <rPr>
        <sz val="12"/>
        <color theme="1"/>
        <rFont val="Arial"/>
        <family val="2"/>
      </rPr>
      <t xml:space="preserve"> *  f</t>
    </r>
    <r>
      <rPr>
        <vertAlign val="subscript"/>
        <sz val="12"/>
        <color theme="1"/>
        <rFont val="Arial"/>
        <family val="2"/>
      </rPr>
      <t>runoff</t>
    </r>
    <r>
      <rPr>
        <sz val="12"/>
        <color theme="1"/>
        <rFont val="Arial"/>
        <family val="2"/>
      </rPr>
      <t xml:space="preserve"> * f</t>
    </r>
    <r>
      <rPr>
        <vertAlign val="subscript"/>
        <sz val="12"/>
        <color theme="1"/>
        <rFont val="Arial"/>
        <family val="2"/>
      </rPr>
      <t>preplant</t>
    </r>
    <phoneticPr fontId="1" type="noConversion"/>
  </si>
  <si>
    <t>constant pland = 0</t>
    <phoneticPr fontId="1" type="noConversion"/>
  </si>
  <si>
    <t>mol P yr-1</t>
    <phoneticPr fontId="1" type="noConversion"/>
  </si>
  <si>
    <r>
      <t>Psilw = k</t>
    </r>
    <r>
      <rPr>
        <vertAlign val="subscript"/>
        <sz val="12"/>
        <color theme="1"/>
        <rFont val="Arial"/>
        <family val="2"/>
      </rPr>
      <t>Psilw</t>
    </r>
    <r>
      <rPr>
        <sz val="12"/>
        <color theme="1"/>
        <rFont val="Arial"/>
        <family val="2"/>
      </rPr>
      <t xml:space="preserve"> * silw / (k</t>
    </r>
    <r>
      <rPr>
        <vertAlign val="subscript"/>
        <sz val="12"/>
        <color theme="1"/>
        <rFont val="Arial"/>
        <family val="2"/>
      </rPr>
      <t>granw</t>
    </r>
    <r>
      <rPr>
        <sz val="12"/>
        <color theme="1"/>
        <rFont val="Arial"/>
        <family val="2"/>
      </rPr>
      <t xml:space="preserve"> +  k</t>
    </r>
    <r>
      <rPr>
        <vertAlign val="subscript"/>
        <sz val="12"/>
        <color theme="1"/>
        <rFont val="Arial"/>
        <family val="2"/>
      </rPr>
      <t>basw</t>
    </r>
    <r>
      <rPr>
        <sz val="12"/>
        <color theme="1"/>
        <rFont val="Arial"/>
        <family val="2"/>
      </rPr>
      <t>)</t>
    </r>
    <phoneticPr fontId="1" type="noConversion"/>
  </si>
  <si>
    <r>
      <t>Pcarbw = k</t>
    </r>
    <r>
      <rPr>
        <vertAlign val="subscript"/>
        <sz val="12"/>
        <color theme="1"/>
        <rFont val="Arial"/>
        <family val="2"/>
      </rPr>
      <t>Pcarbw</t>
    </r>
    <r>
      <rPr>
        <sz val="12"/>
        <color theme="1"/>
        <rFont val="Arial"/>
        <family val="2"/>
      </rPr>
      <t xml:space="preserve"> * carbw / k</t>
    </r>
    <r>
      <rPr>
        <vertAlign val="subscript"/>
        <sz val="12"/>
        <color theme="1"/>
        <rFont val="Arial"/>
        <family val="2"/>
      </rPr>
      <t>14</t>
    </r>
    <phoneticPr fontId="1" type="noConversion"/>
  </si>
  <si>
    <r>
      <t>Poxidw = k</t>
    </r>
    <r>
      <rPr>
        <vertAlign val="subscript"/>
        <sz val="12"/>
        <color theme="1"/>
        <rFont val="Arial"/>
        <family val="2"/>
      </rPr>
      <t>Poxidw</t>
    </r>
    <r>
      <rPr>
        <sz val="12"/>
        <color theme="1"/>
        <rFont val="Arial"/>
        <family val="2"/>
      </rPr>
      <t xml:space="preserve"> * oxidw / k</t>
    </r>
    <r>
      <rPr>
        <vertAlign val="subscript"/>
        <sz val="12"/>
        <color theme="1"/>
        <rFont val="Arial"/>
        <family val="2"/>
      </rPr>
      <t>17</t>
    </r>
    <phoneticPr fontId="1" type="noConversion"/>
  </si>
  <si>
    <r>
      <t>phosw = k</t>
    </r>
    <r>
      <rPr>
        <vertAlign val="subscript"/>
        <sz val="12"/>
        <color theme="1"/>
        <rFont val="Arial"/>
        <family val="2"/>
      </rPr>
      <t>10</t>
    </r>
    <r>
      <rPr>
        <sz val="12"/>
        <color theme="1"/>
        <rFont val="Arial"/>
        <family val="2"/>
      </rPr>
      <t xml:space="preserve"> * (P</t>
    </r>
    <r>
      <rPr>
        <vertAlign val="subscript"/>
        <sz val="12"/>
        <color theme="1"/>
        <rFont val="Arial"/>
        <family val="2"/>
      </rPr>
      <t>silw</t>
    </r>
    <r>
      <rPr>
        <sz val="12"/>
        <color theme="1"/>
        <rFont val="Arial"/>
        <family val="2"/>
      </rPr>
      <t xml:space="preserve"> +  P</t>
    </r>
    <r>
      <rPr>
        <vertAlign val="subscript"/>
        <sz val="12"/>
        <color theme="1"/>
        <rFont val="Arial"/>
        <family val="2"/>
      </rPr>
      <t>carbw</t>
    </r>
    <r>
      <rPr>
        <sz val="12"/>
        <color theme="1"/>
        <rFont val="Arial"/>
        <family val="2"/>
      </rPr>
      <t xml:space="preserve"> * P</t>
    </r>
    <r>
      <rPr>
        <vertAlign val="subscript"/>
        <sz val="12"/>
        <color theme="1"/>
        <rFont val="Arial"/>
        <family val="2"/>
      </rPr>
      <t>oxidw</t>
    </r>
    <r>
      <rPr>
        <sz val="12"/>
        <color theme="1"/>
        <rFont val="Arial"/>
        <family val="2"/>
      </rPr>
      <t>)</t>
    </r>
    <phoneticPr fontId="1" type="noConversion"/>
  </si>
  <si>
    <t>psea = phosw - pland</t>
    <phoneticPr fontId="1" type="noConversion"/>
  </si>
  <si>
    <t>Process/Forcing</t>
    <phoneticPr fontId="1" type="noConversion"/>
  </si>
  <si>
    <t>Label</t>
    <phoneticPr fontId="1" type="noConversion"/>
  </si>
  <si>
    <t>Value</t>
    <phoneticPr fontId="1" type="noConversion"/>
  </si>
  <si>
    <t>Model Forcing</t>
    <phoneticPr fontId="1" type="noConversion"/>
  </si>
  <si>
    <t>Metamorphic and volcanic degassing</t>
  </si>
  <si>
    <t>Tectonic uplift</t>
  </si>
  <si>
    <t>Normalised granite area</t>
  </si>
  <si>
    <t>Normalised basalt area</t>
  </si>
  <si>
    <t>Model climate</t>
  </si>
  <si>
    <t>Climate sensitivity control</t>
  </si>
  <si>
    <t>Luminosity sensitivity control</t>
  </si>
  <si>
    <t>Carbon cycle</t>
  </si>
  <si>
    <t>Total atmosphere-ocean carbon present-day value</t>
  </si>
  <si>
    <t>Carbonate C degassing</t>
  </si>
  <si>
    <t>Pre-plant weathering</t>
  </si>
  <si>
    <t>Oxidative C weathering</t>
  </si>
  <si>
    <t>Temperature sensitivity of granite weathering</t>
  </si>
  <si>
    <t>Temperature sensitivity of basalt weathering</t>
  </si>
  <si>
    <t>Oxygen cycle</t>
    <phoneticPr fontId="1" type="noConversion"/>
  </si>
  <si>
    <t>Total atmosphere-ocean oxygen present-day value</t>
  </si>
  <si>
    <t>Phosphorus cycle</t>
    <phoneticPr fontId="1" type="noConversion"/>
  </si>
  <si>
    <t>Total ocean phosphorus present-day value</t>
  </si>
  <si>
    <t>Silicates fraction of P weathering</t>
  </si>
  <si>
    <t>Carbonates fraction of P weathering</t>
  </si>
  <si>
    <t>Oxidative fraction of P weathering</t>
  </si>
  <si>
    <t>D</t>
    <phoneticPr fontId="1" type="noConversion"/>
  </si>
  <si>
    <t>U</t>
    <phoneticPr fontId="1" type="noConversion"/>
  </si>
  <si>
    <r>
      <t>a</t>
    </r>
    <r>
      <rPr>
        <vertAlign val="subscript"/>
        <sz val="12"/>
        <color theme="1"/>
        <rFont val="Arial"/>
        <family val="2"/>
      </rPr>
      <t>bas</t>
    </r>
    <phoneticPr fontId="1" type="noConversion"/>
  </si>
  <si>
    <r>
      <t>a</t>
    </r>
    <r>
      <rPr>
        <vertAlign val="subscript"/>
        <sz val="12"/>
        <color theme="1"/>
        <rFont val="Arial"/>
        <family val="2"/>
      </rPr>
      <t>gran</t>
    </r>
    <phoneticPr fontId="1" type="noConversion"/>
  </si>
  <si>
    <r>
      <t>k</t>
    </r>
    <r>
      <rPr>
        <vertAlign val="subscript"/>
        <sz val="12"/>
        <color theme="1"/>
        <rFont val="Arial"/>
        <family val="2"/>
      </rPr>
      <t>CO2</t>
    </r>
    <phoneticPr fontId="1" type="noConversion"/>
  </si>
  <si>
    <r>
      <t>k</t>
    </r>
    <r>
      <rPr>
        <vertAlign val="subscript"/>
        <sz val="12"/>
        <color theme="1"/>
        <rFont val="Arial"/>
        <family val="2"/>
      </rPr>
      <t>SL</t>
    </r>
    <phoneticPr fontId="1" type="noConversion"/>
  </si>
  <si>
    <t>˙C</t>
    <phoneticPr fontId="1" type="noConversion"/>
  </si>
  <si>
    <r>
      <t>A</t>
    </r>
    <r>
      <rPr>
        <vertAlign val="subscript"/>
        <sz val="12"/>
        <color theme="1"/>
        <rFont val="Arial"/>
        <family val="2"/>
      </rPr>
      <t>0</t>
    </r>
    <phoneticPr fontId="1" type="noConversion"/>
  </si>
  <si>
    <t>mol</t>
    <phoneticPr fontId="1" type="noConversion"/>
  </si>
  <si>
    <r>
      <t>k</t>
    </r>
    <r>
      <rPr>
        <vertAlign val="subscript"/>
        <sz val="12"/>
        <color theme="1"/>
        <rFont val="Arial"/>
        <family val="2"/>
      </rPr>
      <t>12</t>
    </r>
    <phoneticPr fontId="1" type="noConversion"/>
  </si>
  <si>
    <t>option: 15e12</t>
    <phoneticPr fontId="1" type="noConversion"/>
  </si>
  <si>
    <r>
      <t>k</t>
    </r>
    <r>
      <rPr>
        <vertAlign val="subscript"/>
        <sz val="12"/>
        <color theme="1"/>
        <rFont val="Arial"/>
        <family val="2"/>
      </rPr>
      <t>13</t>
    </r>
    <phoneticPr fontId="1" type="noConversion"/>
  </si>
  <si>
    <r>
      <t>k</t>
    </r>
    <r>
      <rPr>
        <vertAlign val="subscript"/>
        <sz val="12"/>
        <color theme="1"/>
        <rFont val="Arial"/>
        <family val="2"/>
      </rPr>
      <t>15</t>
    </r>
    <phoneticPr fontId="1" type="noConversion"/>
  </si>
  <si>
    <r>
      <t>k</t>
    </r>
    <r>
      <rPr>
        <vertAlign val="subscript"/>
        <sz val="12"/>
        <color theme="1"/>
        <rFont val="Arial"/>
        <family val="2"/>
      </rPr>
      <t>14</t>
    </r>
    <phoneticPr fontId="1" type="noConversion"/>
  </si>
  <si>
    <r>
      <t>k</t>
    </r>
    <r>
      <rPr>
        <vertAlign val="subscript"/>
        <sz val="12"/>
        <color theme="1"/>
        <rFont val="Arial"/>
        <family val="2"/>
      </rPr>
      <t>17</t>
    </r>
    <phoneticPr fontId="1" type="noConversion"/>
  </si>
  <si>
    <r>
      <t>k</t>
    </r>
    <r>
      <rPr>
        <vertAlign val="subscript"/>
        <sz val="12"/>
        <color theme="1"/>
        <rFont val="Arial"/>
        <family val="2"/>
      </rPr>
      <t>Tgran</t>
    </r>
    <phoneticPr fontId="1" type="noConversion"/>
  </si>
  <si>
    <r>
      <t>k</t>
    </r>
    <r>
      <rPr>
        <vertAlign val="subscript"/>
        <sz val="12"/>
        <color theme="1"/>
        <rFont val="Arial"/>
        <family val="2"/>
      </rPr>
      <t>Tbas</t>
    </r>
    <phoneticPr fontId="1" type="noConversion"/>
  </si>
  <si>
    <t>option: 0.0724</t>
    <phoneticPr fontId="1" type="noConversion"/>
  </si>
  <si>
    <t>option: 0.0608</t>
    <phoneticPr fontId="1" type="noConversion"/>
  </si>
  <si>
    <r>
      <t>k</t>
    </r>
    <r>
      <rPr>
        <vertAlign val="subscript"/>
        <sz val="12"/>
        <color theme="1"/>
        <rFont val="Arial"/>
        <family val="2"/>
      </rPr>
      <t>granw</t>
    </r>
    <phoneticPr fontId="1" type="noConversion"/>
  </si>
  <si>
    <r>
      <t>k</t>
    </r>
    <r>
      <rPr>
        <vertAlign val="subscript"/>
        <sz val="12"/>
        <color theme="1"/>
        <rFont val="Arial"/>
        <family val="2"/>
      </rPr>
      <t>basw</t>
    </r>
    <phoneticPr fontId="1" type="noConversion"/>
  </si>
  <si>
    <t>mol/yr</t>
    <phoneticPr fontId="1" type="noConversion"/>
  </si>
  <si>
    <t>option: 8e12</t>
    <phoneticPr fontId="1" type="noConversion"/>
  </si>
  <si>
    <t>option: 3.75e12</t>
    <phoneticPr fontId="1" type="noConversion"/>
  </si>
  <si>
    <r>
      <t>O</t>
    </r>
    <r>
      <rPr>
        <vertAlign val="subscript"/>
        <sz val="12"/>
        <color theme="1"/>
        <rFont val="Arial"/>
        <family val="2"/>
      </rPr>
      <t>0</t>
    </r>
    <phoneticPr fontId="1" type="noConversion"/>
  </si>
  <si>
    <r>
      <t>P</t>
    </r>
    <r>
      <rPr>
        <vertAlign val="subscript"/>
        <sz val="12"/>
        <color theme="1"/>
        <rFont val="Arial"/>
        <family val="2"/>
      </rPr>
      <t>0</t>
    </r>
    <phoneticPr fontId="1" type="noConversion"/>
  </si>
  <si>
    <r>
      <t>k</t>
    </r>
    <r>
      <rPr>
        <vertAlign val="subscript"/>
        <sz val="12"/>
        <color theme="1"/>
        <rFont val="Arial"/>
        <family val="2"/>
      </rPr>
      <t>10</t>
    </r>
    <phoneticPr fontId="1" type="noConversion"/>
  </si>
  <si>
    <r>
      <t>k</t>
    </r>
    <r>
      <rPr>
        <vertAlign val="subscript"/>
        <sz val="12"/>
        <color theme="1"/>
        <rFont val="Arial"/>
        <family val="2"/>
      </rPr>
      <t>Psilw</t>
    </r>
    <phoneticPr fontId="1" type="noConversion"/>
  </si>
  <si>
    <r>
      <t>k</t>
    </r>
    <r>
      <rPr>
        <vertAlign val="subscript"/>
        <sz val="12"/>
        <color theme="1"/>
        <rFont val="Arial"/>
        <family val="2"/>
      </rPr>
      <t>Pcarbw</t>
    </r>
    <phoneticPr fontId="1" type="noConversion"/>
  </si>
  <si>
    <r>
      <t>k</t>
    </r>
    <r>
      <rPr>
        <vertAlign val="subscript"/>
        <sz val="12"/>
        <color theme="1"/>
        <rFont val="Arial"/>
        <family val="2"/>
      </rPr>
      <t>Poxidw</t>
    </r>
    <phoneticPr fontId="1" type="noConversion"/>
  </si>
  <si>
    <t>option: 2/12, 0.8, 0.0</t>
    <phoneticPr fontId="1" type="noConversion"/>
  </si>
  <si>
    <t>option: 5/12, 0.14, 1.0</t>
    <phoneticPr fontId="1" type="noConversion"/>
  </si>
  <si>
    <t>option: 5/12, 0.06, 0.0</t>
    <phoneticPr fontId="1" type="noConversion"/>
  </si>
  <si>
    <t>变量/过程</t>
    <phoneticPr fontId="1" type="noConversion"/>
  </si>
  <si>
    <t>方程</t>
    <phoneticPr fontId="1" type="noConversion"/>
  </si>
  <si>
    <t>单位</t>
    <phoneticPr fontId="1" type="noConversion"/>
  </si>
  <si>
    <t>参考文献/注释</t>
    <phoneticPr fontId="1" type="noConversion"/>
  </si>
  <si>
    <t>大气 pCO2</t>
    <phoneticPr fontId="1" type="noConversion"/>
  </si>
  <si>
    <t>全球稳定减去 15 ˙C</t>
    <phoneticPr fontId="1" type="noConversion"/>
  </si>
  <si>
    <r>
      <rPr>
        <sz val="12"/>
        <color theme="1"/>
        <rFont val="SimSun"/>
        <family val="3"/>
        <charset val="134"/>
      </rPr>
      <t>植物之前风化</t>
    </r>
    <r>
      <rPr>
        <sz val="12"/>
        <color theme="1"/>
        <rFont val="Arial"/>
        <family val="2"/>
      </rPr>
      <t xml:space="preserve"> pCO2 </t>
    </r>
    <r>
      <rPr>
        <sz val="12"/>
        <color theme="1"/>
        <rFont val="SimSun"/>
        <family val="3"/>
        <charset val="134"/>
      </rPr>
      <t>的依赖</t>
    </r>
    <phoneticPr fontId="1" type="noConversion"/>
  </si>
  <si>
    <t>花岗岩（热力学的）温度依赖性</t>
    <phoneticPr fontId="1" type="noConversion"/>
  </si>
  <si>
    <t>玄武岩（热力学的）温度依赖性</t>
    <phoneticPr fontId="1" type="noConversion"/>
  </si>
  <si>
    <t>硅酸岩（径流的）温度依赖性</t>
    <phoneticPr fontId="1" type="noConversion"/>
  </si>
  <si>
    <t>碳酸盐岩岩（径流的）温度依赖性</t>
    <phoneticPr fontId="1" type="noConversion"/>
  </si>
  <si>
    <t>黄岗岩风化</t>
    <phoneticPr fontId="1" type="noConversion"/>
  </si>
  <si>
    <t>玄武岩风化</t>
    <phoneticPr fontId="1" type="noConversion"/>
  </si>
  <si>
    <t>硅酸盐风化</t>
    <phoneticPr fontId="1" type="noConversion"/>
  </si>
  <si>
    <t>碳酸盐岩风化</t>
    <phoneticPr fontId="1" type="noConversion"/>
  </si>
  <si>
    <t>有机碳氧化</t>
    <phoneticPr fontId="1" type="noConversion"/>
  </si>
  <si>
    <t>有机碳排气</t>
    <phoneticPr fontId="1" type="noConversion"/>
  </si>
  <si>
    <t>碳酸盐岩排气</t>
    <phoneticPr fontId="1" type="noConversion"/>
  </si>
  <si>
    <t>陆地有机碳埋藏</t>
    <phoneticPr fontId="1" type="noConversion"/>
  </si>
  <si>
    <t>磷风化（硅酸盐组分）</t>
    <phoneticPr fontId="1" type="noConversion"/>
  </si>
  <si>
    <t>磷风化（碳酸盐岩组分）</t>
    <phoneticPr fontId="1" type="noConversion"/>
  </si>
  <si>
    <t>磷风化（有机质组分）</t>
    <phoneticPr fontId="1" type="noConversion"/>
  </si>
  <si>
    <t>活性磷风化</t>
    <phoneticPr fontId="1" type="noConversion"/>
  </si>
  <si>
    <t>活性磷传输到海洋</t>
    <phoneticPr fontId="1" type="noConversion"/>
  </si>
  <si>
    <t>主要变量</t>
    <phoneticPr fontId="1" type="noConversion"/>
  </si>
  <si>
    <t>碳通量</t>
    <phoneticPr fontId="1" type="noConversion"/>
  </si>
  <si>
    <t>磷通量</t>
    <phoneticPr fontId="1" type="noConversion"/>
  </si>
  <si>
    <t>过程/外部压力</t>
    <phoneticPr fontId="1" type="noConversion"/>
  </si>
  <si>
    <t>符号</t>
    <phoneticPr fontId="1" type="noConversion"/>
  </si>
  <si>
    <t>数值</t>
    <phoneticPr fontId="1" type="noConversion"/>
  </si>
  <si>
    <t>模型外部压力</t>
    <phoneticPr fontId="1" type="noConversion"/>
  </si>
  <si>
    <t>气候部分</t>
    <phoneticPr fontId="1" type="noConversion"/>
  </si>
  <si>
    <t>碳循环</t>
    <phoneticPr fontId="1" type="noConversion"/>
  </si>
  <si>
    <t>氧循环</t>
    <phoneticPr fontId="1" type="noConversion"/>
  </si>
  <si>
    <t>磷循环</t>
    <phoneticPr fontId="1" type="noConversion"/>
  </si>
  <si>
    <t>变质和火山排气</t>
    <phoneticPr fontId="1" type="noConversion"/>
  </si>
  <si>
    <t>构造抬升</t>
    <phoneticPr fontId="1" type="noConversion"/>
  </si>
  <si>
    <t>标准化的花岗岩面积</t>
    <phoneticPr fontId="1" type="noConversion"/>
  </si>
  <si>
    <t>标准化的玄武岩面积</t>
    <phoneticPr fontId="1" type="noConversion"/>
  </si>
  <si>
    <t>气候敏感性控制</t>
    <phoneticPr fontId="1" type="noConversion"/>
  </si>
  <si>
    <t>光度敏感性控制</t>
    <phoneticPr fontId="1" type="noConversion"/>
  </si>
  <si>
    <t>大气-海洋碳库（现代值）</t>
    <phoneticPr fontId="1" type="noConversion"/>
  </si>
  <si>
    <t>碳酸盐岩碳排气</t>
    <phoneticPr fontId="1" type="noConversion"/>
  </si>
  <si>
    <t>植物前风化参数</t>
    <phoneticPr fontId="1" type="noConversion"/>
  </si>
  <si>
    <t>氧化碳风化</t>
    <phoneticPr fontId="1" type="noConversion"/>
  </si>
  <si>
    <t>花岗岩风化的温度敏感性</t>
    <phoneticPr fontId="1" type="noConversion"/>
  </si>
  <si>
    <t>玄武岩风化的温度敏感性</t>
    <phoneticPr fontId="1" type="noConversion"/>
  </si>
  <si>
    <t>花岗岩风化</t>
    <phoneticPr fontId="1" type="noConversion"/>
  </si>
  <si>
    <r>
      <rPr>
        <sz val="12"/>
        <color theme="1"/>
        <rFont val="SimSun"/>
        <family val="3"/>
        <charset val="134"/>
      </rPr>
      <t>大气</t>
    </r>
    <r>
      <rPr>
        <sz val="12"/>
        <color theme="1"/>
        <rFont val="Arial"/>
        <family val="2"/>
      </rPr>
      <t>-</t>
    </r>
    <r>
      <rPr>
        <sz val="12"/>
        <color theme="1"/>
        <rFont val="SimSun"/>
        <family val="3"/>
        <charset val="134"/>
      </rPr>
      <t>海洋氧库（现代值）</t>
    </r>
    <phoneticPr fontId="1" type="noConversion"/>
  </si>
  <si>
    <t>海洋磷库（现代值）</t>
    <phoneticPr fontId="1" type="noConversion"/>
  </si>
  <si>
    <t>磷风化的硅酸盐部分</t>
    <phoneticPr fontId="1" type="noConversion"/>
  </si>
  <si>
    <t>磷风化的碳酸盐岩盐部分</t>
    <phoneticPr fontId="1" type="noConversion"/>
  </si>
  <si>
    <t>磷风化的氧化部分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</si>
</sst>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"/>
  </numFmts>
  <fonts count="18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2"/>
      <color rgb="FF000000"/>
      <name val="等线"/>
      <family val="4"/>
      <charset val="134"/>
      <scheme val="minor"/>
    </font>
    <font>
      <sz val="12"/>
      <color theme="0"/>
      <name val="等线"/>
      <family val="2"/>
      <charset val="134"/>
      <scheme val="minor"/>
    </font>
    <font>
      <sz val="12"/>
      <color theme="0"/>
      <name val="等线"/>
      <family val="4"/>
      <charset val="134"/>
      <scheme val="minor"/>
    </font>
    <font>
      <sz val="12"/>
      <color theme="1"/>
      <name val="Times New Roman"/>
      <family val="1"/>
      <charset val="134"/>
    </font>
    <font>
      <sz val="12"/>
      <color theme="1"/>
      <name val="Cambria"/>
      <family val="1"/>
    </font>
    <font>
      <b/>
      <sz val="13"/>
      <color theme="1"/>
      <name val="Arial"/>
      <family val="2"/>
    </font>
    <font>
      <sz val="12"/>
      <color theme="1"/>
      <name val="Arial"/>
      <family val="2"/>
    </font>
    <font>
      <b/>
      <i/>
      <sz val="12"/>
      <color theme="1"/>
      <name val="Arial"/>
      <family val="2"/>
    </font>
    <font>
      <vertAlign val="subscript"/>
      <sz val="11"/>
      <color theme="1"/>
      <name val="Arial"/>
      <family val="2"/>
    </font>
    <font>
      <vertAlign val="subscript"/>
      <sz val="12"/>
      <color theme="1"/>
      <name val="Arial"/>
      <family val="2"/>
    </font>
    <font>
      <vertAlign val="superscript"/>
      <sz val="12"/>
      <color theme="1"/>
      <name val="Arial"/>
      <family val="2"/>
    </font>
    <font>
      <sz val="12"/>
      <color theme="1"/>
      <name val="SimSun"/>
      <family val="3"/>
      <charset val="134"/>
    </font>
    <font>
      <sz val="12"/>
      <color theme="1"/>
      <name val="Arial"/>
      <family val="3"/>
      <charset val="134"/>
    </font>
    <font>
      <b/>
      <sz val="13"/>
      <color theme="1"/>
      <name val="宋体"/>
      <family val="3"/>
      <charset val="134"/>
    </font>
    <font>
      <sz val="12"/>
      <color theme="1"/>
      <name val="宋体"/>
      <family val="3"/>
      <charset val="134"/>
    </font>
    <font>
      <b/>
      <i/>
      <sz val="12"/>
      <color theme="1"/>
      <name val="宋体"/>
      <family val="3"/>
      <charset val="134"/>
    </font>
  </fonts>
  <fills count="1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D9E1F2"/>
        <bgColor rgb="FF000000"/>
      </patternFill>
    </fill>
    <fill>
      <patternFill patternType="solid">
        <fgColor theme="4" tint="0.59999389629810485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1">
    <xf numFmtId="0" fontId="0" fillId="0" borderId="0">
      <alignment vertical="center"/>
    </xf>
  </cellStyleXfs>
  <cellXfs count="57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11" fontId="0" fillId="0" borderId="0" xfId="0" applyNumberFormat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3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3" xfId="0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0" fillId="3" borderId="0" xfId="0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4" fillId="8" borderId="0" xfId="0" applyFont="1" applyFill="1" applyAlignment="1">
      <alignment horizontal="center" vertical="center"/>
    </xf>
    <xf numFmtId="0" fontId="0" fillId="0" borderId="2" xfId="0" applyBorder="1" applyAlignment="1">
      <alignment horizontal="left" vertical="center"/>
    </xf>
    <xf numFmtId="0" fontId="0" fillId="0" borderId="2" xfId="0" applyBorder="1" applyAlignment="1">
      <alignment horizontal="center" vertical="center" wrapText="1"/>
    </xf>
    <xf numFmtId="0" fontId="0" fillId="0" borderId="1" xfId="0" applyBorder="1">
      <alignment vertical="center"/>
    </xf>
    <xf numFmtId="0" fontId="0" fillId="9" borderId="2" xfId="0" applyFill="1" applyBorder="1" applyAlignment="1">
      <alignment horizontal="center" vertical="center"/>
    </xf>
    <xf numFmtId="11" fontId="0" fillId="9" borderId="0" xfId="0" applyNumberFormat="1" applyFill="1" applyAlignment="1">
      <alignment horizontal="center" vertical="center"/>
    </xf>
    <xf numFmtId="0" fontId="0" fillId="9" borderId="0" xfId="0" applyFill="1">
      <alignment vertical="center"/>
    </xf>
    <xf numFmtId="0" fontId="0" fillId="9" borderId="0" xfId="0" applyFill="1" applyAlignment="1">
      <alignment horizontal="center" vertical="center"/>
    </xf>
    <xf numFmtId="0" fontId="0" fillId="10" borderId="0" xfId="0" applyFill="1" applyAlignment="1">
      <alignment horizontal="center" vertical="center"/>
    </xf>
    <xf numFmtId="11" fontId="0" fillId="9" borderId="0" xfId="0" applyNumberFormat="1" applyFill="1">
      <alignment vertical="center"/>
    </xf>
    <xf numFmtId="2" fontId="0" fillId="0" borderId="0" xfId="0" applyNumberFormat="1" applyAlignment="1">
      <alignment horizontal="center" vertical="center"/>
    </xf>
    <xf numFmtId="0" fontId="2" fillId="11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2" fontId="2" fillId="0" borderId="0" xfId="0" applyNumberFormat="1" applyFont="1" applyAlignment="1">
      <alignment horizontal="center" vertical="center"/>
    </xf>
    <xf numFmtId="11" fontId="2" fillId="0" borderId="0" xfId="0" applyNumberFormat="1" applyFont="1" applyAlignment="1">
      <alignment horizontal="center" vertical="center"/>
    </xf>
    <xf numFmtId="0" fontId="0" fillId="12" borderId="0" xfId="0" applyFill="1" applyAlignment="1">
      <alignment horizontal="center" vertical="center"/>
    </xf>
    <xf numFmtId="0" fontId="8" fillId="0" borderId="0" xfId="0" applyFont="1">
      <alignment vertical="center"/>
    </xf>
    <xf numFmtId="0" fontId="9" fillId="0" borderId="0" xfId="0" applyFont="1">
      <alignment vertical="center"/>
    </xf>
    <xf numFmtId="0" fontId="8" fillId="0" borderId="0" xfId="0" applyFont="1" applyAlignment="1">
      <alignment horizontal="left" vertical="center"/>
    </xf>
    <xf numFmtId="0" fontId="9" fillId="0" borderId="0" xfId="0" applyFont="1" applyAlignment="1">
      <alignment horizontal="left" vertical="center"/>
    </xf>
    <xf numFmtId="176" fontId="8" fillId="0" borderId="0" xfId="0" applyNumberFormat="1" applyFont="1" applyAlignment="1">
      <alignment horizontal="left" vertical="center"/>
    </xf>
    <xf numFmtId="11" fontId="8" fillId="0" borderId="0" xfId="0" applyNumberFormat="1" applyFont="1" applyAlignment="1">
      <alignment horizontal="left" vertical="center"/>
    </xf>
    <xf numFmtId="0" fontId="7" fillId="0" borderId="4" xfId="0" applyFont="1" applyBorder="1">
      <alignment vertical="center"/>
    </xf>
    <xf numFmtId="0" fontId="8" fillId="0" borderId="1" xfId="0" applyFont="1" applyBorder="1">
      <alignment vertical="center"/>
    </xf>
    <xf numFmtId="0" fontId="14" fillId="0" borderId="0" xfId="0" applyFont="1">
      <alignment vertical="center"/>
    </xf>
    <xf numFmtId="0" fontId="13" fillId="0" borderId="0" xfId="0" applyFont="1">
      <alignment vertical="center"/>
    </xf>
    <xf numFmtId="0" fontId="15" fillId="0" borderId="4" xfId="0" applyFont="1" applyBorder="1">
      <alignment vertical="center"/>
    </xf>
    <xf numFmtId="0" fontId="16" fillId="0" borderId="0" xfId="0" applyFont="1">
      <alignment vertical="center"/>
    </xf>
    <xf numFmtId="0" fontId="17" fillId="0" borderId="0" xfId="0" applyFont="1">
      <alignment vertical="center"/>
    </xf>
    <xf numFmtId="0" fontId="7" fillId="0" borderId="4" xfId="0" applyFont="1" applyBorder="1" applyAlignment="1">
      <alignment horizontal="left" vertical="center"/>
    </xf>
    <xf numFmtId="0" fontId="8" fillId="0" borderId="1" xfId="0" applyFont="1" applyBorder="1" applyAlignment="1">
      <alignment horizontal="left" vertical="center"/>
    </xf>
    <xf numFmtId="176" fontId="8" fillId="0" borderId="1" xfId="0" applyNumberFormat="1" applyFont="1" applyBorder="1" applyAlignment="1">
      <alignment horizontal="left" vertical="center"/>
    </xf>
    <xf numFmtId="0" fontId="17" fillId="0" borderId="0" xfId="0" applyFont="1" applyBorder="1">
      <alignment vertical="center"/>
    </xf>
    <xf numFmtId="0" fontId="17" fillId="0" borderId="0" xfId="0" applyFont="1" applyAlignment="1">
      <alignment horizontal="left" vertical="center"/>
    </xf>
    <xf numFmtId="0" fontId="13" fillId="0" borderId="0" xfId="0" applyFont="1" applyAlignment="1">
      <alignment horizontal="left" vertical="center"/>
    </xf>
    <xf numFmtId="0" fontId="14" fillId="0" borderId="0" xfId="0" applyFont="1" applyAlignment="1">
      <alignment horizontal="left" vertical="center"/>
    </xf>
    <xf numFmtId="0" fontId="13" fillId="0" borderId="1" xfId="0" applyFont="1" applyBorder="1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644661-2703-B34D-9E54-3E1FE0C4CDCB}">
  <dimension ref="A1:Y118"/>
  <sheetViews>
    <sheetView tabSelected="1" workbookViewId="0">
      <pane xSplit="1" ySplit="2" topLeftCell="B19" activePane="bottomRight" state="frozen"/>
      <selection pane="topRight" activeCell="B1" sqref="B1"/>
      <selection pane="bottomLeft" activeCell="A3" sqref="A3"/>
      <selection pane="bottomRight" activeCell="B25" sqref="B25"/>
    </sheetView>
  </sheetViews>
  <sheetFormatPr baseColWidth="10" defaultColWidth="11" defaultRowHeight="16"/>
  <cols>
    <col min="1" max="1" width="21.6640625" style="1" customWidth="1"/>
    <col min="2" max="2" width="82.1640625" style="6" customWidth="1"/>
    <col min="3" max="3" width="31.5" style="1" customWidth="1"/>
    <col min="4" max="4" width="50" style="1" bestFit="1" customWidth="1"/>
    <col min="5" max="6" width="10.83203125" style="1" bestFit="1" customWidth="1"/>
    <col min="7" max="7" width="10.6640625" style="1" bestFit="1" customWidth="1"/>
    <col min="8" max="8" width="16.33203125" style="1" bestFit="1" customWidth="1"/>
    <col min="9" max="9" width="9.83203125" style="1" bestFit="1" customWidth="1"/>
    <col min="10" max="10" width="14.83203125" style="1" bestFit="1" customWidth="1"/>
    <col min="11" max="11" width="17.33203125" style="1" bestFit="1" customWidth="1"/>
    <col min="12" max="12" width="8" style="1" bestFit="1" customWidth="1"/>
    <col min="13" max="13" width="10" style="1" bestFit="1" customWidth="1"/>
    <col min="14" max="15" width="11.83203125" style="1" bestFit="1" customWidth="1"/>
    <col min="16" max="16" width="16.1640625" style="1" bestFit="1" customWidth="1"/>
    <col min="17" max="17" width="11.1640625" style="1" bestFit="1" customWidth="1"/>
    <col min="18" max="18" width="19.33203125" style="1" bestFit="1" customWidth="1"/>
    <col min="19" max="19" width="20.1640625" style="1" bestFit="1" customWidth="1"/>
    <col min="20" max="20" width="27.6640625" style="1" bestFit="1" customWidth="1"/>
    <col min="21" max="21" width="19" style="1" bestFit="1" customWidth="1"/>
    <col min="22" max="22" width="24.83203125" style="1" customWidth="1"/>
    <col min="23" max="23" width="28.33203125" style="1" bestFit="1" customWidth="1"/>
    <col min="24" max="24" width="30" style="1" bestFit="1" customWidth="1"/>
    <col min="25" max="25" width="13.33203125" style="1" bestFit="1" customWidth="1"/>
  </cols>
  <sheetData>
    <row r="1" spans="1:25" ht="15.75" customHeight="1">
      <c r="A1" s="5" t="s">
        <v>141</v>
      </c>
      <c r="B1" s="9" t="s">
        <v>74</v>
      </c>
      <c r="C1" s="5" t="s">
        <v>72</v>
      </c>
      <c r="D1" s="5" t="s">
        <v>73</v>
      </c>
      <c r="E1" s="5" t="s">
        <v>143</v>
      </c>
      <c r="F1" s="5" t="s">
        <v>144</v>
      </c>
      <c r="G1" s="5" t="s">
        <v>262</v>
      </c>
      <c r="H1" s="5" t="s">
        <v>0</v>
      </c>
      <c r="I1" s="5" t="s">
        <v>1</v>
      </c>
      <c r="J1" s="5" t="s">
        <v>263</v>
      </c>
      <c r="K1" s="5" t="s">
        <v>264</v>
      </c>
      <c r="L1" s="5" t="s">
        <v>267</v>
      </c>
      <c r="M1" s="5" t="s">
        <v>168</v>
      </c>
      <c r="N1" s="5" t="s">
        <v>169</v>
      </c>
      <c r="O1" s="3" t="s">
        <v>170</v>
      </c>
      <c r="P1" s="3" t="s">
        <v>208</v>
      </c>
      <c r="Q1" s="5" t="s">
        <v>3</v>
      </c>
      <c r="R1" s="3" t="s">
        <v>4</v>
      </c>
      <c r="S1" s="3"/>
      <c r="T1" s="3" t="s">
        <v>7</v>
      </c>
      <c r="U1" s="3"/>
      <c r="V1" s="7" t="s">
        <v>57</v>
      </c>
      <c r="W1" s="3" t="s">
        <v>9</v>
      </c>
      <c r="X1" s="3" t="s">
        <v>10</v>
      </c>
      <c r="Y1" s="5" t="s">
        <v>8</v>
      </c>
    </row>
    <row r="2" spans="1:25">
      <c r="A2" s="2"/>
      <c r="B2" s="10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 t="s">
        <v>2</v>
      </c>
      <c r="Q2" s="2"/>
      <c r="R2" s="2" t="s">
        <v>5</v>
      </c>
      <c r="S2" s="2" t="s">
        <v>6</v>
      </c>
      <c r="T2" s="2" t="s">
        <v>5</v>
      </c>
      <c r="U2" s="2" t="s">
        <v>6</v>
      </c>
      <c r="V2" s="8"/>
      <c r="W2" s="2" t="s">
        <v>19</v>
      </c>
      <c r="X2" s="2" t="s">
        <v>20</v>
      </c>
      <c r="Y2" s="2"/>
    </row>
    <row r="3" spans="1:25">
      <c r="A3" s="12" t="s">
        <v>11</v>
      </c>
      <c r="B3" s="6" t="s">
        <v>146</v>
      </c>
      <c r="C3" s="1" t="s">
        <v>75</v>
      </c>
      <c r="D3" s="1" t="s">
        <v>152</v>
      </c>
      <c r="E3" s="1">
        <v>0.05</v>
      </c>
      <c r="F3" s="1">
        <v>0.75</v>
      </c>
      <c r="G3" s="30">
        <f>(E3*(K3/J3)-F3)/(0.5*(E3+F3)*(K3/J3-1))</f>
        <v>-0.45833333333333331</v>
      </c>
      <c r="H3" s="1">
        <v>1</v>
      </c>
      <c r="I3" s="1" t="b">
        <v>1</v>
      </c>
      <c r="J3" s="1">
        <v>115.4</v>
      </c>
      <c r="K3" s="1">
        <v>461.6</v>
      </c>
      <c r="L3" s="1">
        <v>100</v>
      </c>
      <c r="M3" s="1" t="s">
        <v>15</v>
      </c>
      <c r="N3" s="1" t="s">
        <v>15</v>
      </c>
      <c r="O3" s="1" t="s">
        <v>15</v>
      </c>
      <c r="P3" s="1" t="s">
        <v>16</v>
      </c>
      <c r="Q3" s="1" t="s">
        <v>17</v>
      </c>
      <c r="R3" s="1" t="s">
        <v>17</v>
      </c>
      <c r="S3" s="1" t="s">
        <v>17</v>
      </c>
      <c r="T3" s="1" t="s">
        <v>17</v>
      </c>
      <c r="U3" s="1" t="s">
        <v>17</v>
      </c>
      <c r="V3" s="1" t="s">
        <v>58</v>
      </c>
      <c r="W3" s="1" t="s">
        <v>18</v>
      </c>
      <c r="X3" s="1" t="s">
        <v>21</v>
      </c>
      <c r="Y3" s="1" t="s">
        <v>22</v>
      </c>
    </row>
    <row r="4" spans="1:25">
      <c r="A4" s="12" t="s">
        <v>12</v>
      </c>
      <c r="B4" s="6" t="s">
        <v>147</v>
      </c>
      <c r="C4" s="1" t="s">
        <v>75</v>
      </c>
      <c r="D4" s="1" t="s">
        <v>152</v>
      </c>
      <c r="E4" s="1">
        <v>0.05</v>
      </c>
      <c r="F4" s="1">
        <v>0.75</v>
      </c>
      <c r="G4" s="30">
        <f t="shared" ref="G4:G58" si="0">(E4*(K4/J4)-F4)/(0.5*(E4+F4)*(K4/J4-1))</f>
        <v>-0.45833333333333331</v>
      </c>
      <c r="H4" s="1">
        <v>1</v>
      </c>
      <c r="I4" s="1" t="b">
        <v>0</v>
      </c>
      <c r="J4" s="1">
        <v>115.4</v>
      </c>
      <c r="K4" s="1">
        <v>461.6</v>
      </c>
      <c r="L4" s="1">
        <v>100</v>
      </c>
      <c r="M4" s="1" t="s">
        <v>15</v>
      </c>
      <c r="N4" s="1" t="s">
        <v>15</v>
      </c>
      <c r="O4" s="1" t="s">
        <v>15</v>
      </c>
      <c r="P4" s="1" t="s">
        <v>23</v>
      </c>
      <c r="Q4" s="1" t="s">
        <v>17</v>
      </c>
      <c r="R4" s="1" t="s">
        <v>17</v>
      </c>
      <c r="S4" s="1" t="s">
        <v>17</v>
      </c>
      <c r="T4" s="1" t="s">
        <v>17</v>
      </c>
      <c r="U4" s="1" t="s">
        <v>17</v>
      </c>
      <c r="V4" s="1" t="s">
        <v>58</v>
      </c>
      <c r="W4" s="1" t="s">
        <v>18</v>
      </c>
      <c r="X4" s="1" t="s">
        <v>21</v>
      </c>
      <c r="Y4" s="1" t="s">
        <v>22</v>
      </c>
    </row>
    <row r="5" spans="1:25">
      <c r="A5" s="12" t="s">
        <v>13</v>
      </c>
      <c r="B5" s="6" t="s">
        <v>148</v>
      </c>
      <c r="C5" s="1" t="s">
        <v>75</v>
      </c>
      <c r="D5" s="1" t="s">
        <v>152</v>
      </c>
      <c r="E5" s="1">
        <v>0.05</v>
      </c>
      <c r="F5" s="1">
        <v>0.75</v>
      </c>
      <c r="G5" s="30">
        <f t="shared" si="0"/>
        <v>-0.45833333333333331</v>
      </c>
      <c r="H5" s="1">
        <v>0.5</v>
      </c>
      <c r="I5" s="1" t="b">
        <v>0</v>
      </c>
      <c r="J5" s="1">
        <v>115.4</v>
      </c>
      <c r="K5" s="1">
        <v>461.6</v>
      </c>
      <c r="L5" s="1">
        <v>100</v>
      </c>
      <c r="M5" s="1" t="s">
        <v>15</v>
      </c>
      <c r="N5" s="1" t="s">
        <v>15</v>
      </c>
      <c r="O5" s="1" t="s">
        <v>15</v>
      </c>
      <c r="P5" s="1" t="s">
        <v>24</v>
      </c>
      <c r="Q5" s="1" t="s">
        <v>17</v>
      </c>
      <c r="R5" s="1" t="s">
        <v>17</v>
      </c>
      <c r="S5" s="1" t="s">
        <v>17</v>
      </c>
      <c r="T5" s="1" t="s">
        <v>17</v>
      </c>
      <c r="U5" s="1" t="s">
        <v>17</v>
      </c>
      <c r="V5" s="1" t="s">
        <v>58</v>
      </c>
      <c r="W5" s="1" t="s">
        <v>18</v>
      </c>
      <c r="X5" s="1" t="s">
        <v>21</v>
      </c>
      <c r="Y5" s="1" t="s">
        <v>22</v>
      </c>
    </row>
    <row r="6" spans="1:25">
      <c r="A6" s="12" t="s">
        <v>14</v>
      </c>
      <c r="B6" s="6" t="s">
        <v>309</v>
      </c>
      <c r="C6" s="1" t="s">
        <v>75</v>
      </c>
      <c r="D6" s="1" t="s">
        <v>152</v>
      </c>
      <c r="E6" s="1">
        <v>0.15</v>
      </c>
      <c r="F6" s="1">
        <v>0.6</v>
      </c>
      <c r="G6" s="30">
        <f t="shared" ref="G6" si="1">(E6*(K6/J6)-F6)/(0.5*(E6+F6)*(K6/J6-1))</f>
        <v>0</v>
      </c>
      <c r="H6" s="1">
        <v>1</v>
      </c>
      <c r="I6" s="1" t="b">
        <v>1</v>
      </c>
      <c r="J6" s="1">
        <v>115.4</v>
      </c>
      <c r="K6" s="1">
        <v>461.6</v>
      </c>
      <c r="L6" s="1">
        <v>100</v>
      </c>
      <c r="M6" s="1" t="s">
        <v>15</v>
      </c>
      <c r="N6" s="1" t="s">
        <v>15</v>
      </c>
      <c r="O6" s="1" t="s">
        <v>15</v>
      </c>
      <c r="P6" s="1" t="s">
        <v>16</v>
      </c>
      <c r="Q6" s="4" t="s">
        <v>17</v>
      </c>
      <c r="R6" s="1" t="s">
        <v>17</v>
      </c>
      <c r="S6" s="1" t="s">
        <v>17</v>
      </c>
      <c r="T6" s="1" t="s">
        <v>17</v>
      </c>
      <c r="U6" s="1" t="s">
        <v>17</v>
      </c>
      <c r="V6" s="1" t="s">
        <v>58</v>
      </c>
      <c r="W6" s="1" t="s">
        <v>18</v>
      </c>
      <c r="X6" s="1" t="s">
        <v>21</v>
      </c>
      <c r="Y6" s="1" t="s">
        <v>22</v>
      </c>
    </row>
    <row r="7" spans="1:25">
      <c r="A7" s="12" t="s">
        <v>151</v>
      </c>
      <c r="B7" s="6" t="s">
        <v>149</v>
      </c>
      <c r="C7" s="1" t="s">
        <v>75</v>
      </c>
      <c r="D7" s="1" t="s">
        <v>152</v>
      </c>
      <c r="E7" s="1">
        <v>0.15</v>
      </c>
      <c r="F7" s="1">
        <v>0.6</v>
      </c>
      <c r="G7" s="30">
        <f t="shared" si="0"/>
        <v>0</v>
      </c>
      <c r="H7" s="1">
        <v>1</v>
      </c>
      <c r="I7" s="1" t="b">
        <v>0</v>
      </c>
      <c r="J7" s="1">
        <v>115.4</v>
      </c>
      <c r="K7" s="1">
        <v>461.6</v>
      </c>
      <c r="L7" s="1">
        <v>100</v>
      </c>
      <c r="M7" s="1" t="s">
        <v>15</v>
      </c>
      <c r="N7" s="1" t="s">
        <v>15</v>
      </c>
      <c r="O7" s="1" t="s">
        <v>15</v>
      </c>
      <c r="P7" s="1" t="s">
        <v>153</v>
      </c>
      <c r="Q7" s="4" t="s">
        <v>17</v>
      </c>
      <c r="R7" s="1" t="s">
        <v>17</v>
      </c>
      <c r="S7" s="1" t="s">
        <v>17</v>
      </c>
      <c r="T7" s="1" t="s">
        <v>17</v>
      </c>
      <c r="U7" s="1" t="s">
        <v>17</v>
      </c>
      <c r="V7" s="1" t="s">
        <v>58</v>
      </c>
      <c r="W7" s="1" t="s">
        <v>18</v>
      </c>
      <c r="X7" s="1" t="s">
        <v>21</v>
      </c>
      <c r="Y7" s="1" t="s">
        <v>22</v>
      </c>
    </row>
    <row r="8" spans="1:25">
      <c r="A8" s="31" t="s">
        <v>277</v>
      </c>
      <c r="B8" s="11" t="s">
        <v>310</v>
      </c>
      <c r="C8" s="32" t="s">
        <v>75</v>
      </c>
      <c r="D8" s="32" t="s">
        <v>271</v>
      </c>
      <c r="E8" s="32">
        <v>0.15</v>
      </c>
      <c r="F8" s="32">
        <v>0.6</v>
      </c>
      <c r="G8" s="33">
        <v>0</v>
      </c>
      <c r="H8" s="32">
        <v>0.5</v>
      </c>
      <c r="I8" s="32" t="b">
        <v>0</v>
      </c>
      <c r="J8" s="32">
        <v>115.4</v>
      </c>
      <c r="K8" s="32">
        <v>461.6</v>
      </c>
      <c r="L8" s="32">
        <v>100</v>
      </c>
      <c r="M8" s="32" t="s">
        <v>272</v>
      </c>
      <c r="N8" s="32" t="s">
        <v>272</v>
      </c>
      <c r="O8" s="32" t="s">
        <v>272</v>
      </c>
      <c r="P8" s="32" t="s">
        <v>282</v>
      </c>
      <c r="Q8" s="34" t="s">
        <v>273</v>
      </c>
      <c r="R8" s="32" t="s">
        <v>273</v>
      </c>
      <c r="S8" s="32" t="s">
        <v>273</v>
      </c>
      <c r="T8" s="32" t="s">
        <v>273</v>
      </c>
      <c r="U8" s="32" t="s">
        <v>273</v>
      </c>
      <c r="V8" s="32" t="s">
        <v>58</v>
      </c>
      <c r="W8" s="32" t="s">
        <v>274</v>
      </c>
      <c r="X8" s="32" t="s">
        <v>275</v>
      </c>
      <c r="Y8" s="32" t="s">
        <v>276</v>
      </c>
    </row>
    <row r="9" spans="1:25">
      <c r="A9" s="12" t="s">
        <v>278</v>
      </c>
      <c r="B9" s="6" t="s">
        <v>84</v>
      </c>
      <c r="C9" s="1" t="s">
        <v>75</v>
      </c>
      <c r="D9" s="1" t="s">
        <v>152</v>
      </c>
      <c r="E9" s="1">
        <v>0.23</v>
      </c>
      <c r="F9" s="1">
        <v>0.25</v>
      </c>
      <c r="G9" s="30">
        <f t="shared" ref="G9" si="2">(E9*(K9/J9)-F9)/(0.5*(E9+F9)*(K9/J9-1))</f>
        <v>0.93055555555555569</v>
      </c>
      <c r="H9" s="1">
        <v>1</v>
      </c>
      <c r="I9" s="1" t="b">
        <v>1</v>
      </c>
      <c r="J9" s="1">
        <v>115.4</v>
      </c>
      <c r="K9" s="1">
        <v>461.6</v>
      </c>
      <c r="L9" s="1">
        <v>100</v>
      </c>
      <c r="M9" s="1" t="s">
        <v>15</v>
      </c>
      <c r="N9" s="1" t="s">
        <v>15</v>
      </c>
      <c r="O9" s="1" t="s">
        <v>15</v>
      </c>
      <c r="P9" s="1" t="s">
        <v>16</v>
      </c>
      <c r="Q9" s="4" t="s">
        <v>17</v>
      </c>
      <c r="R9" s="1" t="s">
        <v>17</v>
      </c>
      <c r="S9" s="1" t="s">
        <v>17</v>
      </c>
      <c r="T9" s="1" t="s">
        <v>17</v>
      </c>
      <c r="U9" s="1" t="s">
        <v>17</v>
      </c>
      <c r="V9" s="1" t="s">
        <v>58</v>
      </c>
      <c r="W9" s="1" t="s">
        <v>18</v>
      </c>
      <c r="X9" s="1" t="s">
        <v>21</v>
      </c>
      <c r="Y9" s="1" t="s">
        <v>22</v>
      </c>
    </row>
    <row r="10" spans="1:25">
      <c r="A10" s="12" t="s">
        <v>279</v>
      </c>
      <c r="B10" s="6" t="s">
        <v>150</v>
      </c>
      <c r="C10" s="1" t="s">
        <v>75</v>
      </c>
      <c r="D10" s="1" t="s">
        <v>152</v>
      </c>
      <c r="E10" s="1">
        <v>0.23</v>
      </c>
      <c r="F10" s="1">
        <v>0.25</v>
      </c>
      <c r="G10" s="30">
        <f t="shared" si="0"/>
        <v>0.93055555555555569</v>
      </c>
      <c r="H10" s="1">
        <v>1</v>
      </c>
      <c r="I10" s="1" t="b">
        <v>0</v>
      </c>
      <c r="J10" s="1">
        <v>115.4</v>
      </c>
      <c r="K10" s="1">
        <v>461.6</v>
      </c>
      <c r="L10" s="1">
        <v>100</v>
      </c>
      <c r="M10" s="1" t="s">
        <v>15</v>
      </c>
      <c r="N10" s="1" t="s">
        <v>15</v>
      </c>
      <c r="O10" s="1" t="s">
        <v>15</v>
      </c>
      <c r="P10" s="1" t="s">
        <v>154</v>
      </c>
      <c r="Q10" s="4">
        <v>13500000</v>
      </c>
      <c r="R10" s="1" t="s">
        <v>17</v>
      </c>
      <c r="S10" s="1" t="s">
        <v>17</v>
      </c>
      <c r="T10" s="1" t="s">
        <v>17</v>
      </c>
      <c r="U10" s="1" t="s">
        <v>17</v>
      </c>
      <c r="V10" s="1" t="s">
        <v>58</v>
      </c>
      <c r="W10" s="1" t="s">
        <v>18</v>
      </c>
      <c r="X10" s="1" t="s">
        <v>21</v>
      </c>
      <c r="Y10" s="1" t="s">
        <v>22</v>
      </c>
    </row>
    <row r="11" spans="1:25">
      <c r="A11" s="12" t="s">
        <v>280</v>
      </c>
      <c r="B11" s="6" t="s">
        <v>311</v>
      </c>
      <c r="C11" s="1" t="s">
        <v>75</v>
      </c>
      <c r="D11" s="1" t="s">
        <v>152</v>
      </c>
      <c r="E11" s="1">
        <v>0.23</v>
      </c>
      <c r="F11" s="1">
        <v>0.25</v>
      </c>
      <c r="G11" s="30">
        <f t="shared" ref="G11" si="3">(E11*(K11/J11)-F11)/(0.5*(E11+F11)*(K11/J11-1))</f>
        <v>0.93055555555555569</v>
      </c>
      <c r="H11" s="1">
        <v>0.5</v>
      </c>
      <c r="I11" s="1" t="b">
        <v>0</v>
      </c>
      <c r="J11" s="1">
        <v>115.4</v>
      </c>
      <c r="K11" s="1">
        <v>461.6</v>
      </c>
      <c r="L11" s="1">
        <v>100</v>
      </c>
      <c r="M11" s="1" t="s">
        <v>15</v>
      </c>
      <c r="N11" s="1" t="s">
        <v>15</v>
      </c>
      <c r="O11" s="1" t="s">
        <v>15</v>
      </c>
      <c r="P11" s="1" t="s">
        <v>281</v>
      </c>
      <c r="Q11" s="4">
        <v>21537950.3791858</v>
      </c>
      <c r="R11" s="1" t="s">
        <v>17</v>
      </c>
      <c r="S11" s="1" t="s">
        <v>17</v>
      </c>
      <c r="T11" s="1" t="s">
        <v>17</v>
      </c>
      <c r="U11" s="1" t="s">
        <v>17</v>
      </c>
      <c r="V11" s="1" t="s">
        <v>58</v>
      </c>
      <c r="W11" s="1" t="s">
        <v>18</v>
      </c>
      <c r="X11" s="1" t="s">
        <v>21</v>
      </c>
      <c r="Y11" s="1" t="s">
        <v>22</v>
      </c>
    </row>
    <row r="12" spans="1:25">
      <c r="G12" s="30"/>
    </row>
    <row r="13" spans="1:25">
      <c r="A13" s="35" t="s">
        <v>299</v>
      </c>
      <c r="B13" s="6" t="s">
        <v>90</v>
      </c>
      <c r="C13" s="1" t="s">
        <v>89</v>
      </c>
      <c r="D13" s="1" t="s">
        <v>294</v>
      </c>
      <c r="E13" s="1">
        <v>0.23</v>
      </c>
      <c r="F13" s="1">
        <v>0.25</v>
      </c>
      <c r="G13" s="30">
        <f>(E13*(K13/J13)-F13)/(0.5*(E13+F13)*(K13/J13-1))</f>
        <v>0.93055555555555569</v>
      </c>
      <c r="H13" s="1">
        <v>2.1</v>
      </c>
      <c r="I13" s="1" t="b">
        <v>0</v>
      </c>
      <c r="J13" s="1">
        <v>115.4</v>
      </c>
      <c r="K13" s="1">
        <v>461.6</v>
      </c>
      <c r="L13" s="1">
        <v>100</v>
      </c>
      <c r="M13" s="1" t="s">
        <v>15</v>
      </c>
      <c r="N13" s="1" t="s">
        <v>15</v>
      </c>
      <c r="O13" s="1" t="s">
        <v>15</v>
      </c>
      <c r="P13" s="1" t="s">
        <v>295</v>
      </c>
      <c r="Q13" s="1" t="s">
        <v>17</v>
      </c>
      <c r="R13" s="1" t="s">
        <v>17</v>
      </c>
      <c r="S13" s="1" t="s">
        <v>17</v>
      </c>
      <c r="T13" s="1" t="s">
        <v>95</v>
      </c>
      <c r="U13" s="1" t="s">
        <v>96</v>
      </c>
      <c r="V13" s="1" t="s">
        <v>58</v>
      </c>
      <c r="W13" s="1" t="s">
        <v>18</v>
      </c>
      <c r="X13" s="1" t="s">
        <v>21</v>
      </c>
      <c r="Y13" s="1" t="s">
        <v>41</v>
      </c>
    </row>
    <row r="14" spans="1:25">
      <c r="A14" s="35" t="s">
        <v>300</v>
      </c>
      <c r="B14" s="6" t="s">
        <v>91</v>
      </c>
      <c r="C14" s="1" t="s">
        <v>89</v>
      </c>
      <c r="D14" s="1" t="s">
        <v>294</v>
      </c>
      <c r="E14" s="1">
        <v>0.23</v>
      </c>
      <c r="F14" s="1">
        <v>0.25</v>
      </c>
      <c r="G14" s="30">
        <f t="shared" ref="G14:G22" si="4">(E14*(K14/J14)-F14)/(0.5*(E14+F14)*(K14/J14-1))</f>
        <v>0.93055555555555569</v>
      </c>
      <c r="H14" s="1">
        <v>2.1</v>
      </c>
      <c r="I14" s="1" t="b">
        <v>0</v>
      </c>
      <c r="J14" s="1">
        <v>115.4</v>
      </c>
      <c r="K14" s="1">
        <v>461.6</v>
      </c>
      <c r="L14" s="1">
        <v>100</v>
      </c>
      <c r="M14" s="1" t="s">
        <v>15</v>
      </c>
      <c r="N14" s="1" t="s">
        <v>15</v>
      </c>
      <c r="O14" s="1" t="s">
        <v>15</v>
      </c>
      <c r="P14" s="1" t="s">
        <v>295</v>
      </c>
      <c r="Q14" s="1" t="s">
        <v>17</v>
      </c>
      <c r="R14" s="1" t="s">
        <v>17</v>
      </c>
      <c r="S14" s="1" t="s">
        <v>17</v>
      </c>
      <c r="T14" s="1" t="s">
        <v>95</v>
      </c>
      <c r="U14" s="1" t="s">
        <v>97</v>
      </c>
      <c r="V14" s="1" t="s">
        <v>58</v>
      </c>
      <c r="W14" s="1" t="s">
        <v>18</v>
      </c>
      <c r="X14" s="1" t="s">
        <v>21</v>
      </c>
      <c r="Y14" s="1" t="s">
        <v>41</v>
      </c>
    </row>
    <row r="15" spans="1:25">
      <c r="A15" s="35" t="s">
        <v>301</v>
      </c>
      <c r="B15" s="6" t="s">
        <v>290</v>
      </c>
      <c r="C15" s="1" t="s">
        <v>89</v>
      </c>
      <c r="D15" s="1" t="s">
        <v>294</v>
      </c>
      <c r="E15" s="1">
        <v>0.05</v>
      </c>
      <c r="F15" s="1">
        <v>0.75</v>
      </c>
      <c r="G15" s="30">
        <f t="shared" si="4"/>
        <v>-0.45833333333333331</v>
      </c>
      <c r="H15" s="1">
        <v>2.1</v>
      </c>
      <c r="I15" s="1" t="b">
        <v>0</v>
      </c>
      <c r="J15" s="1">
        <v>115.4</v>
      </c>
      <c r="K15" s="1">
        <v>461.6</v>
      </c>
      <c r="L15" s="1">
        <v>100</v>
      </c>
      <c r="M15" s="1" t="s">
        <v>15</v>
      </c>
      <c r="N15" s="1" t="s">
        <v>15</v>
      </c>
      <c r="O15" s="1" t="s">
        <v>15</v>
      </c>
      <c r="P15" s="1" t="s">
        <v>296</v>
      </c>
      <c r="Q15" s="4" t="s">
        <v>17</v>
      </c>
      <c r="R15" s="1" t="s">
        <v>17</v>
      </c>
      <c r="S15" s="1" t="s">
        <v>17</v>
      </c>
      <c r="T15" s="1" t="s">
        <v>98</v>
      </c>
      <c r="U15" s="1" t="s">
        <v>297</v>
      </c>
      <c r="V15" s="1" t="s">
        <v>58</v>
      </c>
      <c r="W15" s="1" t="s">
        <v>18</v>
      </c>
      <c r="X15" s="1" t="s">
        <v>21</v>
      </c>
      <c r="Y15" s="1" t="s">
        <v>41</v>
      </c>
    </row>
    <row r="16" spans="1:25">
      <c r="A16" s="35" t="s">
        <v>302</v>
      </c>
      <c r="B16" s="6" t="s">
        <v>291</v>
      </c>
      <c r="C16" s="1" t="s">
        <v>89</v>
      </c>
      <c r="D16" s="1" t="s">
        <v>294</v>
      </c>
      <c r="E16" s="1">
        <v>0.05</v>
      </c>
      <c r="F16" s="1">
        <v>0.75</v>
      </c>
      <c r="G16" s="30">
        <f t="shared" si="4"/>
        <v>-0.45833333333333331</v>
      </c>
      <c r="H16" s="1">
        <v>2.1</v>
      </c>
      <c r="I16" s="1" t="b">
        <v>0</v>
      </c>
      <c r="J16" s="1">
        <v>115.4</v>
      </c>
      <c r="K16" s="1">
        <v>461.6</v>
      </c>
      <c r="L16" s="1">
        <v>100</v>
      </c>
      <c r="M16" s="1" t="s">
        <v>15</v>
      </c>
      <c r="N16" s="1" t="s">
        <v>15</v>
      </c>
      <c r="O16" s="1" t="s">
        <v>15</v>
      </c>
      <c r="P16" s="1" t="s">
        <v>296</v>
      </c>
      <c r="Q16" s="4" t="s">
        <v>17</v>
      </c>
      <c r="R16" s="1" t="s">
        <v>17</v>
      </c>
      <c r="S16" s="1" t="s">
        <v>17</v>
      </c>
      <c r="T16" s="1" t="s">
        <v>287</v>
      </c>
      <c r="U16" s="1" t="s">
        <v>297</v>
      </c>
      <c r="V16" s="1" t="s">
        <v>58</v>
      </c>
      <c r="W16" s="1" t="s">
        <v>18</v>
      </c>
      <c r="X16" s="1" t="s">
        <v>21</v>
      </c>
      <c r="Y16" s="1" t="s">
        <v>41</v>
      </c>
    </row>
    <row r="17" spans="1:25">
      <c r="A17" s="35" t="s">
        <v>303</v>
      </c>
      <c r="B17" s="6" t="s">
        <v>292</v>
      </c>
      <c r="C17" s="1" t="s">
        <v>89</v>
      </c>
      <c r="D17" s="1" t="s">
        <v>294</v>
      </c>
      <c r="E17" s="1">
        <v>0.05</v>
      </c>
      <c r="F17" s="1">
        <v>0.75</v>
      </c>
      <c r="G17" s="30">
        <f t="shared" si="4"/>
        <v>-0.45833333333333331</v>
      </c>
      <c r="H17" s="1">
        <v>2.1</v>
      </c>
      <c r="I17" s="1" t="b">
        <v>0</v>
      </c>
      <c r="J17" s="1">
        <v>115.4</v>
      </c>
      <c r="K17" s="1">
        <v>461.6</v>
      </c>
      <c r="L17" s="32">
        <v>100</v>
      </c>
      <c r="M17" s="1" t="s">
        <v>15</v>
      </c>
      <c r="N17" s="1" t="s">
        <v>15</v>
      </c>
      <c r="O17" s="1" t="s">
        <v>15</v>
      </c>
      <c r="P17" s="1" t="s">
        <v>296</v>
      </c>
      <c r="Q17" s="34" t="s">
        <v>273</v>
      </c>
      <c r="R17" s="1" t="s">
        <v>17</v>
      </c>
      <c r="S17" s="1" t="s">
        <v>17</v>
      </c>
      <c r="T17" s="1" t="s">
        <v>288</v>
      </c>
      <c r="U17" s="1" t="s">
        <v>297</v>
      </c>
      <c r="V17" s="1" t="s">
        <v>58</v>
      </c>
      <c r="W17" s="1" t="s">
        <v>18</v>
      </c>
      <c r="X17" s="1" t="s">
        <v>21</v>
      </c>
      <c r="Y17" s="1" t="s">
        <v>41</v>
      </c>
    </row>
    <row r="18" spans="1:25">
      <c r="A18" s="35" t="s">
        <v>304</v>
      </c>
      <c r="B18" s="6" t="s">
        <v>293</v>
      </c>
      <c r="C18" s="1" t="s">
        <v>89</v>
      </c>
      <c r="D18" s="1" t="s">
        <v>294</v>
      </c>
      <c r="E18" s="1">
        <v>0.05</v>
      </c>
      <c r="F18" s="1">
        <v>0.75</v>
      </c>
      <c r="G18" s="30">
        <f t="shared" si="4"/>
        <v>-0.45833333333333331</v>
      </c>
      <c r="H18" s="1">
        <v>2.1</v>
      </c>
      <c r="I18" s="1" t="b">
        <v>0</v>
      </c>
      <c r="J18" s="32">
        <v>115.4</v>
      </c>
      <c r="K18" s="32">
        <v>461.6</v>
      </c>
      <c r="L18" s="1">
        <v>100</v>
      </c>
      <c r="M18" s="1" t="s">
        <v>15</v>
      </c>
      <c r="N18" s="1" t="s">
        <v>15</v>
      </c>
      <c r="O18" s="1" t="s">
        <v>15</v>
      </c>
      <c r="P18" s="1" t="s">
        <v>296</v>
      </c>
      <c r="Q18" s="4" t="s">
        <v>17</v>
      </c>
      <c r="R18" s="1" t="s">
        <v>17</v>
      </c>
      <c r="S18" s="1" t="s">
        <v>17</v>
      </c>
      <c r="T18" s="1" t="s">
        <v>99</v>
      </c>
      <c r="U18" s="1" t="s">
        <v>297</v>
      </c>
      <c r="V18" s="1" t="s">
        <v>58</v>
      </c>
      <c r="W18" s="1" t="s">
        <v>18</v>
      </c>
      <c r="X18" s="1" t="s">
        <v>21</v>
      </c>
      <c r="Y18" s="1" t="s">
        <v>41</v>
      </c>
    </row>
    <row r="19" spans="1:25">
      <c r="A19" s="35" t="s">
        <v>305</v>
      </c>
      <c r="B19" s="6" t="s">
        <v>92</v>
      </c>
      <c r="C19" s="1" t="s">
        <v>89</v>
      </c>
      <c r="D19" s="1" t="s">
        <v>294</v>
      </c>
      <c r="E19" s="1">
        <v>0.23</v>
      </c>
      <c r="F19" s="1">
        <v>0.25</v>
      </c>
      <c r="G19" s="30">
        <f t="shared" si="4"/>
        <v>0.93055555555555569</v>
      </c>
      <c r="H19" s="1">
        <v>2.1</v>
      </c>
      <c r="I19" s="1" t="b">
        <v>0</v>
      </c>
      <c r="J19" s="1">
        <v>115.4</v>
      </c>
      <c r="K19" s="1">
        <v>461.6</v>
      </c>
      <c r="L19" s="1">
        <v>100</v>
      </c>
      <c r="M19" s="1" t="s">
        <v>15</v>
      </c>
      <c r="N19" s="1" t="s">
        <v>15</v>
      </c>
      <c r="O19" s="1" t="s">
        <v>15</v>
      </c>
      <c r="P19" s="1" t="s">
        <v>295</v>
      </c>
      <c r="Q19" s="1" t="s">
        <v>17</v>
      </c>
      <c r="R19" s="32" t="s">
        <v>273</v>
      </c>
      <c r="S19" s="32" t="s">
        <v>273</v>
      </c>
      <c r="T19" s="1" t="s">
        <v>98</v>
      </c>
      <c r="U19" s="1" t="s">
        <v>297</v>
      </c>
      <c r="V19" s="1" t="s">
        <v>58</v>
      </c>
      <c r="W19" s="1" t="s">
        <v>18</v>
      </c>
      <c r="X19" s="1" t="s">
        <v>21</v>
      </c>
      <c r="Y19" s="1" t="s">
        <v>41</v>
      </c>
    </row>
    <row r="20" spans="1:25">
      <c r="A20" s="35" t="s">
        <v>306</v>
      </c>
      <c r="B20" s="6" t="s">
        <v>93</v>
      </c>
      <c r="C20" s="1" t="s">
        <v>89</v>
      </c>
      <c r="D20" s="1" t="s">
        <v>294</v>
      </c>
      <c r="E20" s="1">
        <v>0.23</v>
      </c>
      <c r="F20" s="1">
        <v>0.25</v>
      </c>
      <c r="G20" s="30">
        <f t="shared" si="4"/>
        <v>0.93055555555555569</v>
      </c>
      <c r="H20" s="1">
        <v>2.1</v>
      </c>
      <c r="I20" s="1" t="b">
        <v>0</v>
      </c>
      <c r="J20" s="1">
        <v>115.4</v>
      </c>
      <c r="K20" s="1">
        <v>461.6</v>
      </c>
      <c r="L20" s="1">
        <v>100</v>
      </c>
      <c r="M20" s="32" t="s">
        <v>272</v>
      </c>
      <c r="N20" s="32" t="s">
        <v>272</v>
      </c>
      <c r="O20" s="32" t="s">
        <v>272</v>
      </c>
      <c r="P20" s="1" t="s">
        <v>295</v>
      </c>
      <c r="Q20" s="1" t="s">
        <v>17</v>
      </c>
      <c r="R20" s="1" t="s">
        <v>17</v>
      </c>
      <c r="S20" s="1" t="s">
        <v>17</v>
      </c>
      <c r="T20" s="1" t="s">
        <v>287</v>
      </c>
      <c r="U20" s="1" t="s">
        <v>297</v>
      </c>
      <c r="V20" s="32" t="s">
        <v>58</v>
      </c>
      <c r="W20" s="32" t="s">
        <v>274</v>
      </c>
      <c r="X20" s="32" t="s">
        <v>275</v>
      </c>
      <c r="Y20" s="1" t="s">
        <v>41</v>
      </c>
    </row>
    <row r="21" spans="1:25">
      <c r="A21" s="35" t="s">
        <v>307</v>
      </c>
      <c r="B21" s="6" t="s">
        <v>94</v>
      </c>
      <c r="C21" s="1" t="s">
        <v>89</v>
      </c>
      <c r="D21" s="1" t="s">
        <v>294</v>
      </c>
      <c r="E21" s="1">
        <v>0.23</v>
      </c>
      <c r="F21" s="1">
        <v>0.25</v>
      </c>
      <c r="G21" s="30">
        <f t="shared" si="4"/>
        <v>0.93055555555555569</v>
      </c>
      <c r="H21" s="1">
        <v>2.1</v>
      </c>
      <c r="I21" s="1" t="b">
        <v>0</v>
      </c>
      <c r="J21" s="1">
        <v>115.4</v>
      </c>
      <c r="K21" s="1">
        <v>461.6</v>
      </c>
      <c r="L21" s="1">
        <v>100</v>
      </c>
      <c r="M21" s="1" t="s">
        <v>15</v>
      </c>
      <c r="N21" s="1" t="s">
        <v>15</v>
      </c>
      <c r="O21" s="1" t="s">
        <v>15</v>
      </c>
      <c r="P21" s="1" t="s">
        <v>295</v>
      </c>
      <c r="Q21" s="4" t="s">
        <v>17</v>
      </c>
      <c r="R21" s="1" t="s">
        <v>17</v>
      </c>
      <c r="S21" s="1" t="s">
        <v>17</v>
      </c>
      <c r="T21" s="1" t="s">
        <v>288</v>
      </c>
      <c r="U21" s="1" t="s">
        <v>297</v>
      </c>
      <c r="V21" s="1" t="s">
        <v>58</v>
      </c>
      <c r="W21" s="1" t="s">
        <v>18</v>
      </c>
      <c r="X21" s="1" t="s">
        <v>21</v>
      </c>
      <c r="Y21" s="1" t="s">
        <v>41</v>
      </c>
    </row>
    <row r="22" spans="1:25">
      <c r="A22" s="35" t="s">
        <v>308</v>
      </c>
      <c r="B22" s="6" t="s">
        <v>289</v>
      </c>
      <c r="C22" s="1" t="s">
        <v>89</v>
      </c>
      <c r="D22" s="1" t="s">
        <v>294</v>
      </c>
      <c r="E22" s="1">
        <v>0.23</v>
      </c>
      <c r="F22" s="1">
        <v>0.25</v>
      </c>
      <c r="G22" s="30">
        <f t="shared" si="4"/>
        <v>0.93055555555555569</v>
      </c>
      <c r="H22" s="1">
        <v>2.1</v>
      </c>
      <c r="I22" s="1" t="b">
        <v>0</v>
      </c>
      <c r="J22" s="1">
        <v>115.4</v>
      </c>
      <c r="K22" s="1">
        <v>461.6</v>
      </c>
      <c r="L22" s="1">
        <v>100</v>
      </c>
      <c r="M22" s="1" t="s">
        <v>15</v>
      </c>
      <c r="N22" s="1" t="s">
        <v>15</v>
      </c>
      <c r="O22" s="1" t="s">
        <v>15</v>
      </c>
      <c r="P22" s="1" t="s">
        <v>295</v>
      </c>
      <c r="Q22" s="4" t="s">
        <v>17</v>
      </c>
      <c r="R22" s="1" t="s">
        <v>17</v>
      </c>
      <c r="S22" s="1" t="s">
        <v>17</v>
      </c>
      <c r="T22" s="1" t="s">
        <v>99</v>
      </c>
      <c r="U22" s="1" t="s">
        <v>297</v>
      </c>
      <c r="V22" s="1" t="s">
        <v>58</v>
      </c>
      <c r="W22" s="1" t="s">
        <v>18</v>
      </c>
      <c r="X22" s="1" t="s">
        <v>21</v>
      </c>
      <c r="Y22" s="1" t="s">
        <v>41</v>
      </c>
    </row>
    <row r="23" spans="1:25">
      <c r="Q23" s="34"/>
    </row>
    <row r="24" spans="1:25">
      <c r="A24" s="12" t="s">
        <v>31</v>
      </c>
      <c r="B24" s="6" t="s">
        <v>165</v>
      </c>
      <c r="C24" s="1" t="s">
        <v>89</v>
      </c>
      <c r="D24" s="1" t="s">
        <v>164</v>
      </c>
      <c r="E24" s="1">
        <v>0.05</v>
      </c>
      <c r="F24" s="1">
        <v>0.75</v>
      </c>
      <c r="G24" s="30">
        <f t="shared" si="0"/>
        <v>-0.45833333333333331</v>
      </c>
      <c r="H24" s="1">
        <v>0.8</v>
      </c>
      <c r="I24" s="1" t="b">
        <v>0</v>
      </c>
      <c r="J24" s="1">
        <v>115.4</v>
      </c>
      <c r="K24" s="1">
        <v>461.6</v>
      </c>
      <c r="L24" s="1">
        <v>100</v>
      </c>
      <c r="M24" s="1">
        <v>1</v>
      </c>
      <c r="N24" s="1">
        <v>0</v>
      </c>
      <c r="O24" s="1">
        <v>0</v>
      </c>
      <c r="P24" s="1" t="s">
        <v>27</v>
      </c>
      <c r="Q24" s="4" t="s">
        <v>17</v>
      </c>
      <c r="R24" s="1" t="s">
        <v>17</v>
      </c>
      <c r="S24" s="1" t="s">
        <v>17</v>
      </c>
      <c r="T24" s="1" t="s">
        <v>17</v>
      </c>
      <c r="U24" s="1" t="s">
        <v>17</v>
      </c>
      <c r="V24" s="1" t="s">
        <v>58</v>
      </c>
      <c r="W24" s="1" t="s">
        <v>18</v>
      </c>
      <c r="X24" s="1" t="s">
        <v>21</v>
      </c>
      <c r="Y24" s="1" t="s">
        <v>26</v>
      </c>
    </row>
    <row r="25" spans="1:25">
      <c r="A25" s="12" t="s">
        <v>32</v>
      </c>
      <c r="B25" s="6" t="s">
        <v>100</v>
      </c>
      <c r="C25" s="1" t="s">
        <v>89</v>
      </c>
      <c r="D25" s="1" t="s">
        <v>164</v>
      </c>
      <c r="E25" s="1">
        <v>0.23</v>
      </c>
      <c r="F25" s="1">
        <v>0.25</v>
      </c>
      <c r="G25" s="30">
        <f t="shared" si="0"/>
        <v>0.93055555555555569</v>
      </c>
      <c r="H25" s="1">
        <v>1.1000000000000001</v>
      </c>
      <c r="I25" s="1" t="b">
        <v>0</v>
      </c>
      <c r="J25" s="1">
        <v>115.4</v>
      </c>
      <c r="K25" s="1">
        <v>461.6</v>
      </c>
      <c r="L25" s="1">
        <v>100</v>
      </c>
      <c r="M25" s="1">
        <v>1</v>
      </c>
      <c r="N25" s="1">
        <v>0</v>
      </c>
      <c r="O25" s="1">
        <v>0</v>
      </c>
      <c r="P25" s="1" t="s">
        <v>35</v>
      </c>
      <c r="Q25" s="4">
        <v>13000000</v>
      </c>
      <c r="R25" s="1" t="s">
        <v>17</v>
      </c>
      <c r="S25" s="1" t="s">
        <v>17</v>
      </c>
      <c r="T25" s="1" t="s">
        <v>17</v>
      </c>
      <c r="U25" s="1" t="s">
        <v>17</v>
      </c>
      <c r="V25" s="1" t="s">
        <v>58</v>
      </c>
      <c r="W25" s="1" t="s">
        <v>18</v>
      </c>
      <c r="X25" s="1" t="s">
        <v>21</v>
      </c>
      <c r="Y25" s="1" t="s">
        <v>26</v>
      </c>
    </row>
    <row r="26" spans="1:25">
      <c r="A26" s="12" t="s">
        <v>33</v>
      </c>
      <c r="B26" s="6" t="s">
        <v>167</v>
      </c>
      <c r="C26" s="1" t="s">
        <v>89</v>
      </c>
      <c r="D26" s="1" t="s">
        <v>164</v>
      </c>
      <c r="E26" s="1">
        <v>0.23</v>
      </c>
      <c r="F26" s="1">
        <v>0.25</v>
      </c>
      <c r="G26" s="30">
        <f t="shared" si="0"/>
        <v>0.93055555555555569</v>
      </c>
      <c r="H26" s="1">
        <v>0.7</v>
      </c>
      <c r="I26" s="1" t="b">
        <v>0</v>
      </c>
      <c r="J26" s="1">
        <v>115.4</v>
      </c>
      <c r="K26" s="1">
        <v>461.6</v>
      </c>
      <c r="L26" s="1">
        <v>100</v>
      </c>
      <c r="M26" s="1">
        <v>1</v>
      </c>
      <c r="N26" s="1">
        <v>0</v>
      </c>
      <c r="O26" s="1">
        <v>0</v>
      </c>
      <c r="P26" s="1" t="s">
        <v>36</v>
      </c>
      <c r="Q26" s="4">
        <v>8800000</v>
      </c>
      <c r="R26" s="1" t="s">
        <v>17</v>
      </c>
      <c r="S26" s="1" t="s">
        <v>17</v>
      </c>
      <c r="T26" s="1" t="s">
        <v>17</v>
      </c>
      <c r="U26" s="1" t="s">
        <v>17</v>
      </c>
      <c r="V26" s="1" t="s">
        <v>58</v>
      </c>
      <c r="W26" s="1" t="s">
        <v>18</v>
      </c>
      <c r="X26" s="1" t="s">
        <v>21</v>
      </c>
      <c r="Y26" s="18" t="s">
        <v>268</v>
      </c>
    </row>
    <row r="27" spans="1:25">
      <c r="A27" s="12" t="s">
        <v>34</v>
      </c>
      <c r="B27" s="6" t="s">
        <v>166</v>
      </c>
      <c r="C27" s="1" t="s">
        <v>89</v>
      </c>
      <c r="D27" s="1" t="s">
        <v>164</v>
      </c>
      <c r="E27" s="1">
        <v>0.23</v>
      </c>
      <c r="F27" s="1">
        <v>0.25</v>
      </c>
      <c r="G27" s="30">
        <f t="shared" si="0"/>
        <v>0.93055555555555569</v>
      </c>
      <c r="H27" s="1">
        <v>0.5</v>
      </c>
      <c r="I27" s="1" t="b">
        <v>0</v>
      </c>
      <c r="J27" s="1">
        <v>115.4</v>
      </c>
      <c r="K27" s="1">
        <v>461.6</v>
      </c>
      <c r="L27" s="1">
        <v>100</v>
      </c>
      <c r="M27" s="1">
        <v>1</v>
      </c>
      <c r="N27" s="1">
        <v>0</v>
      </c>
      <c r="O27" s="1">
        <v>0</v>
      </c>
      <c r="P27" s="1" t="s">
        <v>37</v>
      </c>
      <c r="Q27" s="4">
        <v>34000000</v>
      </c>
      <c r="R27" s="1" t="s">
        <v>17</v>
      </c>
      <c r="S27" s="1" t="s">
        <v>17</v>
      </c>
      <c r="T27" s="1" t="s">
        <v>17</v>
      </c>
      <c r="U27" s="1" t="s">
        <v>17</v>
      </c>
      <c r="V27" s="1" t="s">
        <v>58</v>
      </c>
      <c r="W27" s="1" t="s">
        <v>18</v>
      </c>
      <c r="X27" s="1" t="s">
        <v>21</v>
      </c>
      <c r="Y27" s="1" t="s">
        <v>26</v>
      </c>
    </row>
    <row r="28" spans="1:25">
      <c r="G28" s="30"/>
    </row>
    <row r="29" spans="1:25">
      <c r="A29" s="13" t="s">
        <v>155</v>
      </c>
      <c r="B29" s="6" t="s">
        <v>157</v>
      </c>
      <c r="C29" s="1" t="s">
        <v>89</v>
      </c>
      <c r="D29" s="1" t="s">
        <v>159</v>
      </c>
      <c r="E29" s="1">
        <v>0.23</v>
      </c>
      <c r="F29" s="1">
        <v>0.25</v>
      </c>
      <c r="G29" s="30">
        <f t="shared" si="0"/>
        <v>0.93055555555555569</v>
      </c>
      <c r="H29" s="1">
        <v>1.25</v>
      </c>
      <c r="I29" s="1" t="b">
        <v>0</v>
      </c>
      <c r="J29" s="1">
        <v>115.4</v>
      </c>
      <c r="K29" s="1">
        <v>461.6</v>
      </c>
      <c r="L29" s="1">
        <v>100</v>
      </c>
      <c r="M29" s="1">
        <v>1</v>
      </c>
      <c r="N29" s="1">
        <v>0</v>
      </c>
      <c r="O29" s="1">
        <v>0</v>
      </c>
      <c r="P29" s="1" t="s">
        <v>38</v>
      </c>
      <c r="Q29" s="1" t="s">
        <v>17</v>
      </c>
      <c r="R29" s="1" t="s">
        <v>156</v>
      </c>
      <c r="S29" s="1" t="s">
        <v>43</v>
      </c>
      <c r="T29" s="1" t="s">
        <v>17</v>
      </c>
      <c r="U29" s="1" t="s">
        <v>17</v>
      </c>
      <c r="V29" s="1" t="s">
        <v>58</v>
      </c>
      <c r="W29" s="1" t="s">
        <v>18</v>
      </c>
      <c r="X29" s="1" t="s">
        <v>21</v>
      </c>
      <c r="Y29" s="1" t="s">
        <v>42</v>
      </c>
    </row>
    <row r="30" spans="1:25">
      <c r="A30" s="14" t="s">
        <v>283</v>
      </c>
      <c r="B30" s="6" t="s">
        <v>158</v>
      </c>
      <c r="C30" s="1" t="s">
        <v>89</v>
      </c>
      <c r="D30" s="1" t="s">
        <v>159</v>
      </c>
      <c r="E30" s="1">
        <v>0.25</v>
      </c>
      <c r="F30" s="1">
        <v>0.25</v>
      </c>
      <c r="G30" s="30">
        <f t="shared" si="0"/>
        <v>1</v>
      </c>
      <c r="H30" s="1">
        <v>1.25</v>
      </c>
      <c r="I30" s="1" t="b">
        <v>0</v>
      </c>
      <c r="J30" s="1">
        <v>115.4</v>
      </c>
      <c r="K30" s="1">
        <v>461.6</v>
      </c>
      <c r="L30" s="1">
        <v>100</v>
      </c>
      <c r="M30" s="1">
        <v>1</v>
      </c>
      <c r="N30" s="1">
        <v>0</v>
      </c>
      <c r="O30" s="1">
        <v>0</v>
      </c>
      <c r="P30" s="1" t="s">
        <v>38</v>
      </c>
      <c r="Q30" s="1" t="s">
        <v>17</v>
      </c>
      <c r="R30" s="1" t="s">
        <v>156</v>
      </c>
      <c r="S30" s="1" t="s">
        <v>44</v>
      </c>
      <c r="T30" s="1" t="s">
        <v>17</v>
      </c>
      <c r="U30" s="1" t="s">
        <v>17</v>
      </c>
      <c r="V30" s="1" t="s">
        <v>58</v>
      </c>
      <c r="W30" s="1" t="s">
        <v>18</v>
      </c>
      <c r="X30" s="1" t="s">
        <v>21</v>
      </c>
      <c r="Y30" s="1" t="s">
        <v>42</v>
      </c>
    </row>
    <row r="31" spans="1:25">
      <c r="A31" s="15"/>
      <c r="G31" s="30"/>
    </row>
    <row r="32" spans="1:25">
      <c r="A32" s="14" t="s">
        <v>284</v>
      </c>
      <c r="B32" s="6" t="s">
        <v>160</v>
      </c>
      <c r="C32" s="1" t="s">
        <v>89</v>
      </c>
      <c r="D32" s="1" t="s">
        <v>163</v>
      </c>
      <c r="E32" s="1">
        <v>0.23</v>
      </c>
      <c r="F32" s="1">
        <v>0.25</v>
      </c>
      <c r="G32" s="30">
        <f t="shared" si="0"/>
        <v>0.93055555555555569</v>
      </c>
      <c r="H32" s="1">
        <v>0.45</v>
      </c>
      <c r="I32" s="1" t="b">
        <v>0</v>
      </c>
      <c r="J32" s="1">
        <v>115.4</v>
      </c>
      <c r="K32" s="1">
        <v>461.6</v>
      </c>
      <c r="L32" s="1">
        <v>100</v>
      </c>
      <c r="M32" s="1">
        <v>1</v>
      </c>
      <c r="N32" s="1">
        <v>0</v>
      </c>
      <c r="O32" s="1">
        <v>0</v>
      </c>
      <c r="P32" s="1" t="s">
        <v>40</v>
      </c>
      <c r="Q32" s="1" t="s">
        <v>17</v>
      </c>
      <c r="R32" s="1" t="s">
        <v>45</v>
      </c>
      <c r="S32" s="1" t="s">
        <v>47</v>
      </c>
      <c r="T32" s="1" t="s">
        <v>17</v>
      </c>
      <c r="U32" s="1" t="s">
        <v>17</v>
      </c>
      <c r="V32" s="1" t="s">
        <v>58</v>
      </c>
      <c r="W32" s="1" t="s">
        <v>18</v>
      </c>
      <c r="X32" s="1" t="s">
        <v>21</v>
      </c>
      <c r="Y32" s="1" t="s">
        <v>298</v>
      </c>
    </row>
    <row r="33" spans="1:25">
      <c r="A33" s="14" t="s">
        <v>285</v>
      </c>
      <c r="B33" s="6" t="s">
        <v>161</v>
      </c>
      <c r="C33" s="1" t="s">
        <v>89</v>
      </c>
      <c r="D33" s="1" t="s">
        <v>163</v>
      </c>
      <c r="E33" s="1">
        <v>0.23</v>
      </c>
      <c r="F33" s="1">
        <v>0.25</v>
      </c>
      <c r="G33" s="30">
        <f t="shared" si="0"/>
        <v>0.93055555555555569</v>
      </c>
      <c r="H33" s="1">
        <v>0.45</v>
      </c>
      <c r="I33" s="1" t="b">
        <v>0</v>
      </c>
      <c r="J33" s="1">
        <v>115.4</v>
      </c>
      <c r="K33" s="1">
        <v>461.6</v>
      </c>
      <c r="L33" s="1">
        <v>100</v>
      </c>
      <c r="M33" s="1">
        <v>1</v>
      </c>
      <c r="N33" s="1">
        <v>0</v>
      </c>
      <c r="O33" s="1">
        <v>0</v>
      </c>
      <c r="P33" s="1" t="s">
        <v>39</v>
      </c>
      <c r="Q33" s="1" t="s">
        <v>17</v>
      </c>
      <c r="R33" s="1" t="s">
        <v>48</v>
      </c>
      <c r="S33" s="1" t="s">
        <v>46</v>
      </c>
      <c r="T33" s="1" t="s">
        <v>17</v>
      </c>
      <c r="U33" s="1" t="s">
        <v>17</v>
      </c>
      <c r="V33" s="1" t="s">
        <v>58</v>
      </c>
      <c r="W33" s="1" t="s">
        <v>18</v>
      </c>
      <c r="X33" s="1" t="s">
        <v>21</v>
      </c>
      <c r="Y33" s="1" t="s">
        <v>298</v>
      </c>
    </row>
    <row r="34" spans="1:25">
      <c r="A34" s="14" t="s">
        <v>286</v>
      </c>
      <c r="B34" s="6" t="s">
        <v>162</v>
      </c>
      <c r="C34" s="1" t="s">
        <v>89</v>
      </c>
      <c r="D34" s="1" t="s">
        <v>163</v>
      </c>
      <c r="E34" s="1">
        <v>0.25</v>
      </c>
      <c r="F34" s="1">
        <v>0.25</v>
      </c>
      <c r="G34" s="30">
        <f t="shared" si="0"/>
        <v>1</v>
      </c>
      <c r="H34" s="1">
        <v>0.45</v>
      </c>
      <c r="I34" s="1" t="b">
        <v>0</v>
      </c>
      <c r="J34" s="1">
        <v>115.4</v>
      </c>
      <c r="K34" s="1">
        <v>461.6</v>
      </c>
      <c r="L34" s="1">
        <v>100</v>
      </c>
      <c r="M34" s="1">
        <v>1</v>
      </c>
      <c r="N34" s="1">
        <v>0</v>
      </c>
      <c r="O34" s="1">
        <v>0</v>
      </c>
      <c r="P34" s="1" t="s">
        <v>39</v>
      </c>
      <c r="Q34" s="1" t="s">
        <v>17</v>
      </c>
      <c r="R34" s="1" t="s">
        <v>114</v>
      </c>
      <c r="S34" s="1" t="s">
        <v>46</v>
      </c>
      <c r="T34" s="1" t="s">
        <v>17</v>
      </c>
      <c r="U34" s="1" t="s">
        <v>17</v>
      </c>
      <c r="V34" s="1" t="s">
        <v>58</v>
      </c>
      <c r="W34" s="1" t="s">
        <v>18</v>
      </c>
      <c r="X34" s="1" t="s">
        <v>21</v>
      </c>
      <c r="Y34" s="1" t="s">
        <v>298</v>
      </c>
    </row>
    <row r="35" spans="1:25">
      <c r="G35" s="30"/>
    </row>
    <row r="36" spans="1:25">
      <c r="G36" s="30"/>
    </row>
    <row r="37" spans="1:25">
      <c r="A37" s="6" t="s">
        <v>172</v>
      </c>
      <c r="G37" s="30"/>
    </row>
    <row r="38" spans="1:25">
      <c r="A38" s="17" t="s">
        <v>312</v>
      </c>
      <c r="B38" s="6" t="s">
        <v>196</v>
      </c>
      <c r="C38" s="1" t="s">
        <v>75</v>
      </c>
      <c r="D38" s="1" t="s">
        <v>145</v>
      </c>
      <c r="E38" s="1">
        <v>0.13200000000000001</v>
      </c>
      <c r="F38" s="1">
        <v>0.59</v>
      </c>
      <c r="G38" s="30">
        <f t="shared" si="0"/>
        <v>-5.7248384118190165E-2</v>
      </c>
      <c r="H38" s="1">
        <v>0.65</v>
      </c>
      <c r="I38" s="1" t="b">
        <v>0</v>
      </c>
      <c r="J38" s="1">
        <v>115.4</v>
      </c>
      <c r="K38" s="1">
        <v>461.6</v>
      </c>
      <c r="L38" s="1">
        <v>100</v>
      </c>
      <c r="M38" s="1" t="s">
        <v>15</v>
      </c>
      <c r="N38" s="1" t="s">
        <v>15</v>
      </c>
      <c r="O38" s="1" t="s">
        <v>15</v>
      </c>
      <c r="P38" s="1" t="s">
        <v>195</v>
      </c>
      <c r="Q38" s="4">
        <v>5000000</v>
      </c>
      <c r="R38" s="1" t="s">
        <v>17</v>
      </c>
      <c r="S38" s="1" t="s">
        <v>17</v>
      </c>
      <c r="T38" s="1" t="s">
        <v>17</v>
      </c>
      <c r="U38" s="1" t="s">
        <v>17</v>
      </c>
      <c r="V38" s="1" t="s">
        <v>58</v>
      </c>
      <c r="W38" s="1" t="s">
        <v>18</v>
      </c>
      <c r="X38" s="1" t="s">
        <v>21</v>
      </c>
      <c r="Y38" s="1" t="s">
        <v>86</v>
      </c>
    </row>
    <row r="39" spans="1:25">
      <c r="A39" s="17" t="s">
        <v>313</v>
      </c>
      <c r="B39" s="6" t="s">
        <v>197</v>
      </c>
      <c r="C39" s="1" t="s">
        <v>75</v>
      </c>
      <c r="D39" s="1" t="s">
        <v>145</v>
      </c>
      <c r="E39" s="1">
        <f>0.561/4</f>
        <v>0.14025000000000001</v>
      </c>
      <c r="F39" s="1">
        <v>0.56100000000000005</v>
      </c>
      <c r="G39" s="30">
        <f t="shared" si="0"/>
        <v>0</v>
      </c>
      <c r="H39" s="1">
        <v>0.65</v>
      </c>
      <c r="I39" s="1" t="b">
        <v>0</v>
      </c>
      <c r="J39" s="1">
        <v>115.4</v>
      </c>
      <c r="K39" s="1">
        <v>461.6</v>
      </c>
      <c r="L39" s="1">
        <v>100</v>
      </c>
      <c r="M39" s="1" t="s">
        <v>15</v>
      </c>
      <c r="N39" s="1" t="s">
        <v>15</v>
      </c>
      <c r="O39" s="1" t="s">
        <v>15</v>
      </c>
      <c r="P39" s="1" t="s">
        <v>195</v>
      </c>
      <c r="Q39" s="4">
        <v>4500000</v>
      </c>
      <c r="R39" s="1" t="s">
        <v>17</v>
      </c>
      <c r="S39" s="1" t="s">
        <v>17</v>
      </c>
      <c r="T39" s="1" t="s">
        <v>17</v>
      </c>
      <c r="U39" s="1" t="s">
        <v>17</v>
      </c>
      <c r="V39" s="1" t="s">
        <v>58</v>
      </c>
      <c r="W39" s="1" t="s">
        <v>18</v>
      </c>
      <c r="X39" s="1" t="s">
        <v>21</v>
      </c>
      <c r="Y39" s="1" t="s">
        <v>86</v>
      </c>
    </row>
    <row r="40" spans="1:25">
      <c r="A40" s="17" t="s">
        <v>314</v>
      </c>
      <c r="B40" s="6" t="s">
        <v>142</v>
      </c>
      <c r="C40" s="1" t="s">
        <v>75</v>
      </c>
      <c r="D40" s="1" t="s">
        <v>145</v>
      </c>
      <c r="E40" s="1">
        <v>0.14499999999999999</v>
      </c>
      <c r="F40" s="1">
        <v>0.53</v>
      </c>
      <c r="G40" s="30">
        <f t="shared" si="0"/>
        <v>4.9382716049382644E-2</v>
      </c>
      <c r="H40" s="1">
        <v>0.65</v>
      </c>
      <c r="I40" s="1" t="b">
        <v>0</v>
      </c>
      <c r="J40" s="1">
        <v>115.4</v>
      </c>
      <c r="K40" s="1">
        <v>461.6</v>
      </c>
      <c r="L40" s="1">
        <v>100</v>
      </c>
      <c r="M40" s="1" t="s">
        <v>15</v>
      </c>
      <c r="N40" s="1" t="s">
        <v>15</v>
      </c>
      <c r="O40" s="1" t="s">
        <v>15</v>
      </c>
      <c r="P40" s="1" t="s">
        <v>195</v>
      </c>
      <c r="Q40" s="4">
        <v>4660000</v>
      </c>
      <c r="R40" s="1" t="s">
        <v>17</v>
      </c>
      <c r="S40" s="1" t="s">
        <v>17</v>
      </c>
      <c r="T40" s="1" t="s">
        <v>17</v>
      </c>
      <c r="U40" s="1" t="s">
        <v>17</v>
      </c>
      <c r="V40" s="1" t="s">
        <v>58</v>
      </c>
      <c r="W40" s="1" t="s">
        <v>18</v>
      </c>
      <c r="X40" s="1" t="s">
        <v>21</v>
      </c>
      <c r="Y40" s="1" t="s">
        <v>86</v>
      </c>
    </row>
    <row r="41" spans="1:25">
      <c r="A41" s="17" t="s">
        <v>315</v>
      </c>
      <c r="B41" s="6" t="s">
        <v>140</v>
      </c>
      <c r="C41" s="1" t="s">
        <v>75</v>
      </c>
      <c r="D41" s="1" t="s">
        <v>145</v>
      </c>
      <c r="E41" s="1">
        <v>0.157</v>
      </c>
      <c r="F41" s="1">
        <v>0.5</v>
      </c>
      <c r="G41" s="30">
        <f t="shared" si="0"/>
        <v>0.12988330796549974</v>
      </c>
      <c r="H41" s="1">
        <v>0.65</v>
      </c>
      <c r="I41" s="1" t="b">
        <v>0</v>
      </c>
      <c r="J41" s="1">
        <v>115.4</v>
      </c>
      <c r="K41" s="1">
        <v>461.6</v>
      </c>
      <c r="L41" s="1">
        <v>100</v>
      </c>
      <c r="M41" s="1" t="s">
        <v>15</v>
      </c>
      <c r="N41" s="1" t="s">
        <v>15</v>
      </c>
      <c r="O41" s="1" t="s">
        <v>15</v>
      </c>
      <c r="P41" s="1" t="s">
        <v>195</v>
      </c>
      <c r="Q41" s="4">
        <v>5230000</v>
      </c>
      <c r="R41" s="1" t="s">
        <v>17</v>
      </c>
      <c r="S41" s="1" t="s">
        <v>17</v>
      </c>
      <c r="T41" s="1" t="s">
        <v>17</v>
      </c>
      <c r="U41" s="1" t="s">
        <v>17</v>
      </c>
      <c r="V41" s="1" t="s">
        <v>58</v>
      </c>
      <c r="W41" s="1" t="s">
        <v>18</v>
      </c>
      <c r="X41" s="1" t="s">
        <v>21</v>
      </c>
      <c r="Y41" s="1" t="s">
        <v>86</v>
      </c>
    </row>
    <row r="42" spans="1:25">
      <c r="A42" s="17" t="s">
        <v>316</v>
      </c>
      <c r="B42" s="6" t="s">
        <v>139</v>
      </c>
      <c r="C42" s="1" t="s">
        <v>75</v>
      </c>
      <c r="D42" s="1" t="s">
        <v>145</v>
      </c>
      <c r="E42" s="1">
        <v>0.185</v>
      </c>
      <c r="F42" s="1">
        <v>0.4</v>
      </c>
      <c r="G42" s="30">
        <f t="shared" si="0"/>
        <v>0.38746438746438744</v>
      </c>
      <c r="H42" s="1">
        <v>0.65</v>
      </c>
      <c r="I42" s="1" t="b">
        <v>0</v>
      </c>
      <c r="J42" s="1">
        <v>115.4</v>
      </c>
      <c r="K42" s="1">
        <v>461.6</v>
      </c>
      <c r="L42" s="1">
        <v>100</v>
      </c>
      <c r="M42" s="1" t="s">
        <v>15</v>
      </c>
      <c r="N42" s="1" t="s">
        <v>15</v>
      </c>
      <c r="O42" s="1" t="s">
        <v>15</v>
      </c>
      <c r="P42" s="1" t="s">
        <v>195</v>
      </c>
      <c r="Q42" s="4">
        <v>7470000</v>
      </c>
      <c r="R42" s="1" t="s">
        <v>17</v>
      </c>
      <c r="S42" s="1" t="s">
        <v>17</v>
      </c>
      <c r="T42" s="1" t="s">
        <v>17</v>
      </c>
      <c r="U42" s="1" t="s">
        <v>17</v>
      </c>
      <c r="V42" s="1" t="s">
        <v>58</v>
      </c>
      <c r="W42" s="1" t="s">
        <v>18</v>
      </c>
      <c r="X42" s="1" t="s">
        <v>21</v>
      </c>
      <c r="Y42" s="2" t="s">
        <v>86</v>
      </c>
    </row>
    <row r="43" spans="1:25">
      <c r="A43" s="17" t="s">
        <v>317</v>
      </c>
      <c r="B43" s="6" t="s">
        <v>137</v>
      </c>
      <c r="C43" s="1" t="s">
        <v>75</v>
      </c>
      <c r="D43" s="1" t="s">
        <v>145</v>
      </c>
      <c r="E43" s="1">
        <v>0.23</v>
      </c>
      <c r="F43" s="1">
        <v>0.25</v>
      </c>
      <c r="G43" s="30">
        <f t="shared" si="0"/>
        <v>0.93055555555555569</v>
      </c>
      <c r="H43" s="1">
        <v>0.65</v>
      </c>
      <c r="I43" s="1" t="b">
        <v>0</v>
      </c>
      <c r="J43" s="1">
        <v>115.4</v>
      </c>
      <c r="K43" s="1">
        <v>461.6</v>
      </c>
      <c r="L43" s="1">
        <v>100</v>
      </c>
      <c r="M43" s="1" t="s">
        <v>15</v>
      </c>
      <c r="N43" s="1" t="s">
        <v>15</v>
      </c>
      <c r="O43" s="1" t="s">
        <v>15</v>
      </c>
      <c r="P43" s="1" t="s">
        <v>195</v>
      </c>
      <c r="Q43" s="4">
        <v>11700000</v>
      </c>
      <c r="R43" s="1" t="s">
        <v>17</v>
      </c>
      <c r="S43" s="1" t="s">
        <v>17</v>
      </c>
      <c r="T43" s="1" t="s">
        <v>17</v>
      </c>
      <c r="U43" s="1" t="s">
        <v>17</v>
      </c>
      <c r="V43" s="1" t="s">
        <v>58</v>
      </c>
      <c r="W43" s="1" t="s">
        <v>18</v>
      </c>
      <c r="X43" s="1" t="s">
        <v>21</v>
      </c>
      <c r="Y43" s="18" t="s">
        <v>332</v>
      </c>
    </row>
    <row r="44" spans="1:25">
      <c r="G44" s="30"/>
    </row>
    <row r="45" spans="1:25">
      <c r="A45" s="6" t="s">
        <v>173</v>
      </c>
      <c r="G45" s="30"/>
    </row>
    <row r="46" spans="1:25">
      <c r="A46" s="17" t="s">
        <v>318</v>
      </c>
      <c r="B46" s="6" t="s">
        <v>136</v>
      </c>
      <c r="C46" s="1" t="s">
        <v>75</v>
      </c>
      <c r="D46" s="1" t="s">
        <v>145</v>
      </c>
      <c r="E46" s="1">
        <v>0.23</v>
      </c>
      <c r="F46" s="1">
        <v>0.25</v>
      </c>
      <c r="G46" s="30">
        <f t="shared" si="0"/>
        <v>0.93055555555555569</v>
      </c>
      <c r="H46" s="1">
        <v>1</v>
      </c>
      <c r="I46" s="1" t="b">
        <v>0</v>
      </c>
      <c r="J46" s="1">
        <v>115.4</v>
      </c>
      <c r="K46" s="1">
        <v>461.6</v>
      </c>
      <c r="L46" s="1">
        <v>100</v>
      </c>
      <c r="M46" s="1" t="s">
        <v>15</v>
      </c>
      <c r="N46" s="1" t="s">
        <v>15</v>
      </c>
      <c r="O46" s="1" t="s">
        <v>15</v>
      </c>
      <c r="P46" s="1" t="s">
        <v>87</v>
      </c>
      <c r="Q46" s="4">
        <v>13500000</v>
      </c>
      <c r="R46" s="1" t="s">
        <v>17</v>
      </c>
      <c r="S46" s="1" t="s">
        <v>17</v>
      </c>
      <c r="T46" s="1" t="s">
        <v>17</v>
      </c>
      <c r="U46" s="1" t="s">
        <v>17</v>
      </c>
      <c r="V46" s="1" t="s">
        <v>58</v>
      </c>
      <c r="W46" s="1" t="s">
        <v>18</v>
      </c>
      <c r="X46" s="1" t="s">
        <v>21</v>
      </c>
      <c r="Y46" s="1" t="s">
        <v>333</v>
      </c>
    </row>
    <row r="47" spans="1:25">
      <c r="A47" s="17" t="s">
        <v>319</v>
      </c>
      <c r="B47" s="6" t="s">
        <v>138</v>
      </c>
      <c r="C47" s="1" t="s">
        <v>75</v>
      </c>
      <c r="D47" s="1" t="s">
        <v>145</v>
      </c>
      <c r="E47" s="1">
        <v>0.23</v>
      </c>
      <c r="F47" s="1">
        <v>0.25</v>
      </c>
      <c r="G47" s="30">
        <f t="shared" si="0"/>
        <v>0.93055555555555569</v>
      </c>
      <c r="H47" s="1">
        <v>0.48</v>
      </c>
      <c r="I47" s="1" t="b">
        <v>0</v>
      </c>
      <c r="J47" s="1">
        <v>115.4</v>
      </c>
      <c r="K47" s="1">
        <v>461.6</v>
      </c>
      <c r="L47" s="1">
        <v>100</v>
      </c>
      <c r="M47" s="1" t="s">
        <v>15</v>
      </c>
      <c r="N47" s="1" t="s">
        <v>15</v>
      </c>
      <c r="O47" s="1" t="s">
        <v>15</v>
      </c>
      <c r="P47" s="1" t="s">
        <v>88</v>
      </c>
      <c r="Q47" s="4">
        <v>32800000</v>
      </c>
      <c r="R47" s="1" t="s">
        <v>17</v>
      </c>
      <c r="S47" s="1" t="s">
        <v>17</v>
      </c>
      <c r="T47" s="1" t="s">
        <v>17</v>
      </c>
      <c r="U47" s="1" t="s">
        <v>17</v>
      </c>
      <c r="V47" s="1" t="s">
        <v>58</v>
      </c>
      <c r="W47" s="1" t="s">
        <v>18</v>
      </c>
      <c r="X47" s="1" t="s">
        <v>21</v>
      </c>
      <c r="Y47" s="1" t="s">
        <v>333</v>
      </c>
    </row>
    <row r="48" spans="1:25">
      <c r="G48" s="30"/>
    </row>
    <row r="49" spans="1:25">
      <c r="A49" t="s">
        <v>56</v>
      </c>
      <c r="G49" s="30"/>
    </row>
    <row r="50" spans="1:25">
      <c r="A50" s="12" t="s">
        <v>33</v>
      </c>
      <c r="B50" s="6" t="s">
        <v>167</v>
      </c>
      <c r="C50" s="1" t="s">
        <v>89</v>
      </c>
      <c r="D50" s="1" t="s">
        <v>105</v>
      </c>
      <c r="E50" s="1">
        <v>0.23</v>
      </c>
      <c r="F50" s="1">
        <v>0.25</v>
      </c>
      <c r="G50" s="30">
        <f t="shared" si="0"/>
        <v>0.93055555555555569</v>
      </c>
      <c r="H50" s="1">
        <v>0.7</v>
      </c>
      <c r="I50" s="1" t="b">
        <v>0</v>
      </c>
      <c r="J50" s="1">
        <v>115.4</v>
      </c>
      <c r="K50" s="1">
        <v>461.6</v>
      </c>
      <c r="L50" s="1">
        <v>100</v>
      </c>
      <c r="M50" s="1">
        <v>1</v>
      </c>
      <c r="N50" s="1">
        <v>0</v>
      </c>
      <c r="O50" s="1">
        <v>0</v>
      </c>
      <c r="P50" s="1" t="s">
        <v>36</v>
      </c>
      <c r="Q50" s="4">
        <v>8990000</v>
      </c>
      <c r="R50" s="1" t="s">
        <v>17</v>
      </c>
      <c r="S50" s="1" t="s">
        <v>17</v>
      </c>
      <c r="T50" s="1" t="s">
        <v>17</v>
      </c>
      <c r="U50" s="1" t="s">
        <v>17</v>
      </c>
      <c r="V50" s="1" t="s">
        <v>58</v>
      </c>
      <c r="W50" s="1" t="s">
        <v>18</v>
      </c>
      <c r="X50" s="1" t="s">
        <v>21</v>
      </c>
      <c r="Y50" s="18" t="s">
        <v>268</v>
      </c>
    </row>
    <row r="51" spans="1:25">
      <c r="A51" s="19" t="s">
        <v>320</v>
      </c>
      <c r="B51" s="6" t="s">
        <v>102</v>
      </c>
      <c r="C51" s="1" t="s">
        <v>89</v>
      </c>
      <c r="D51" s="1" t="s">
        <v>105</v>
      </c>
      <c r="E51" s="1">
        <v>0.23</v>
      </c>
      <c r="F51" s="1">
        <v>0.25</v>
      </c>
      <c r="G51" s="30">
        <f t="shared" si="0"/>
        <v>0.93055555555555569</v>
      </c>
      <c r="H51" s="1">
        <v>0.7</v>
      </c>
      <c r="I51" s="1" t="b">
        <v>0</v>
      </c>
      <c r="J51" s="1">
        <v>115.4</v>
      </c>
      <c r="K51" s="1">
        <v>461.6</v>
      </c>
      <c r="L51" s="1">
        <v>100</v>
      </c>
      <c r="M51" s="1">
        <v>0.8</v>
      </c>
      <c r="N51" s="1">
        <v>0.14000000000000001</v>
      </c>
      <c r="O51" s="1">
        <v>0.06</v>
      </c>
      <c r="P51" s="1" t="s">
        <v>50</v>
      </c>
      <c r="Q51" s="4">
        <v>9324913.2164535709</v>
      </c>
      <c r="R51" s="1" t="s">
        <v>17</v>
      </c>
      <c r="S51" s="1" t="s">
        <v>17</v>
      </c>
      <c r="T51" s="1" t="s">
        <v>17</v>
      </c>
      <c r="U51" s="1" t="s">
        <v>17</v>
      </c>
      <c r="V51" s="1" t="s">
        <v>58</v>
      </c>
      <c r="W51" s="1" t="s">
        <v>18</v>
      </c>
      <c r="X51" s="1" t="s">
        <v>21</v>
      </c>
      <c r="Y51" s="1" t="s">
        <v>111</v>
      </c>
    </row>
    <row r="52" spans="1:25">
      <c r="A52" s="19" t="s">
        <v>321</v>
      </c>
      <c r="B52" s="6" t="s">
        <v>103</v>
      </c>
      <c r="C52" s="1" t="s">
        <v>89</v>
      </c>
      <c r="D52" s="1" t="s">
        <v>105</v>
      </c>
      <c r="E52" s="1">
        <v>0.23</v>
      </c>
      <c r="F52" s="1">
        <v>0.25</v>
      </c>
      <c r="G52" s="30">
        <f t="shared" si="0"/>
        <v>0.93055555555555569</v>
      </c>
      <c r="H52" s="1">
        <v>0.7</v>
      </c>
      <c r="I52" s="1" t="b">
        <v>0</v>
      </c>
      <c r="J52" s="1">
        <v>115.4</v>
      </c>
      <c r="K52" s="1">
        <v>461.6</v>
      </c>
      <c r="L52" s="1">
        <v>100</v>
      </c>
      <c r="M52" s="1">
        <v>0.2</v>
      </c>
      <c r="N52" s="1">
        <v>0.4</v>
      </c>
      <c r="O52" s="1">
        <v>0.4</v>
      </c>
      <c r="P52" s="1" t="s">
        <v>51</v>
      </c>
      <c r="Q52" s="4">
        <v>11726798.327982601</v>
      </c>
      <c r="R52" s="1" t="s">
        <v>17</v>
      </c>
      <c r="S52" s="1" t="s">
        <v>17</v>
      </c>
      <c r="T52" s="1" t="s">
        <v>17</v>
      </c>
      <c r="U52" s="1" t="s">
        <v>17</v>
      </c>
      <c r="V52" s="1" t="s">
        <v>106</v>
      </c>
      <c r="W52" s="1" t="s">
        <v>18</v>
      </c>
      <c r="X52" s="1" t="s">
        <v>21</v>
      </c>
      <c r="Y52" s="1" t="s">
        <v>111</v>
      </c>
    </row>
    <row r="53" spans="1:25">
      <c r="A53" s="19" t="s">
        <v>322</v>
      </c>
      <c r="B53" s="6" t="s">
        <v>101</v>
      </c>
      <c r="C53" s="1" t="s">
        <v>89</v>
      </c>
      <c r="D53" s="1" t="s">
        <v>105</v>
      </c>
      <c r="E53" s="1">
        <v>0.23</v>
      </c>
      <c r="F53" s="1">
        <v>0.25</v>
      </c>
      <c r="G53" s="30">
        <f t="shared" si="0"/>
        <v>0.93055555555555569</v>
      </c>
      <c r="H53" s="1">
        <v>0.7</v>
      </c>
      <c r="I53" s="1" t="b">
        <v>0</v>
      </c>
      <c r="J53" s="1">
        <v>115.4</v>
      </c>
      <c r="K53" s="1">
        <v>461.6</v>
      </c>
      <c r="L53" s="1">
        <v>100</v>
      </c>
      <c r="M53" s="1">
        <v>0</v>
      </c>
      <c r="N53" s="1">
        <v>1</v>
      </c>
      <c r="O53" s="1">
        <v>0</v>
      </c>
      <c r="P53" s="1" t="s">
        <v>49</v>
      </c>
      <c r="Q53" s="4">
        <v>9940000</v>
      </c>
      <c r="R53" s="1" t="s">
        <v>17</v>
      </c>
      <c r="S53" s="1" t="s">
        <v>17</v>
      </c>
      <c r="T53" s="1" t="s">
        <v>17</v>
      </c>
      <c r="U53" s="1" t="s">
        <v>17</v>
      </c>
      <c r="V53" s="1" t="s">
        <v>58</v>
      </c>
      <c r="W53" s="1" t="s">
        <v>18</v>
      </c>
      <c r="X53" s="1" t="s">
        <v>21</v>
      </c>
      <c r="Y53" s="1" t="s">
        <v>111</v>
      </c>
    </row>
    <row r="54" spans="1:25">
      <c r="A54" s="19" t="s">
        <v>323</v>
      </c>
      <c r="B54" s="6" t="s">
        <v>104</v>
      </c>
      <c r="C54" s="1" t="s">
        <v>89</v>
      </c>
      <c r="D54" s="1" t="s">
        <v>105</v>
      </c>
      <c r="E54" s="1">
        <v>0.23</v>
      </c>
      <c r="F54" s="1">
        <v>0.25</v>
      </c>
      <c r="G54" s="30">
        <f t="shared" si="0"/>
        <v>0.93055555555555569</v>
      </c>
      <c r="H54" s="1">
        <v>0.7</v>
      </c>
      <c r="I54" s="1" t="b">
        <v>0</v>
      </c>
      <c r="J54" s="1">
        <v>115.4</v>
      </c>
      <c r="K54" s="1">
        <v>461.6</v>
      </c>
      <c r="L54" s="1">
        <v>100</v>
      </c>
      <c r="M54" s="1">
        <v>1</v>
      </c>
      <c r="N54" s="1">
        <v>1</v>
      </c>
      <c r="O54" s="1">
        <v>0</v>
      </c>
      <c r="P54" s="1" t="s">
        <v>50</v>
      </c>
      <c r="Q54" s="4">
        <v>8642832.5529619008</v>
      </c>
      <c r="R54" s="1" t="s">
        <v>17</v>
      </c>
      <c r="S54" s="1" t="s">
        <v>17</v>
      </c>
      <c r="T54" s="1" t="s">
        <v>17</v>
      </c>
      <c r="U54" s="1" t="s">
        <v>17</v>
      </c>
      <c r="V54" s="1" t="s">
        <v>58</v>
      </c>
      <c r="W54" s="1" t="s">
        <v>18</v>
      </c>
      <c r="X54" s="1" t="s">
        <v>21</v>
      </c>
      <c r="Y54" s="1" t="s">
        <v>111</v>
      </c>
    </row>
    <row r="55" spans="1:25">
      <c r="A55" s="19" t="s">
        <v>324</v>
      </c>
      <c r="B55" s="6" t="s">
        <v>107</v>
      </c>
      <c r="C55" s="1" t="s">
        <v>89</v>
      </c>
      <c r="D55" s="1" t="s">
        <v>105</v>
      </c>
      <c r="E55" s="1">
        <v>0.23</v>
      </c>
      <c r="F55" s="1">
        <v>0.25</v>
      </c>
      <c r="G55" s="30">
        <f t="shared" si="0"/>
        <v>0.93055555555555569</v>
      </c>
      <c r="H55" s="1">
        <v>0.7</v>
      </c>
      <c r="I55" s="1" t="b">
        <v>0</v>
      </c>
      <c r="J55" s="1">
        <v>115.4</v>
      </c>
      <c r="K55" s="1">
        <v>461.6</v>
      </c>
      <c r="L55" s="1">
        <v>100</v>
      </c>
      <c r="M55" s="1">
        <v>1</v>
      </c>
      <c r="N55" s="1">
        <v>0</v>
      </c>
      <c r="O55" s="1">
        <v>0</v>
      </c>
      <c r="P55" s="1" t="s">
        <v>54</v>
      </c>
      <c r="Q55" s="4">
        <v>17651671.6014187</v>
      </c>
      <c r="R55" s="1" t="s">
        <v>17</v>
      </c>
      <c r="S55" s="1" t="s">
        <v>17</v>
      </c>
      <c r="T55" s="1" t="s">
        <v>17</v>
      </c>
      <c r="U55" s="1" t="s">
        <v>17</v>
      </c>
      <c r="V55" s="1" t="s">
        <v>58</v>
      </c>
      <c r="W55" s="1" t="s">
        <v>52</v>
      </c>
      <c r="X55" s="1" t="s">
        <v>21</v>
      </c>
      <c r="Y55" s="1" t="s">
        <v>112</v>
      </c>
    </row>
    <row r="56" spans="1:25">
      <c r="A56" s="19" t="s">
        <v>325</v>
      </c>
      <c r="B56" s="6" t="s">
        <v>108</v>
      </c>
      <c r="C56" s="1" t="s">
        <v>89</v>
      </c>
      <c r="D56" s="1" t="s">
        <v>105</v>
      </c>
      <c r="E56" s="1">
        <v>0.23</v>
      </c>
      <c r="F56" s="1">
        <v>0.25</v>
      </c>
      <c r="G56" s="30">
        <f t="shared" si="0"/>
        <v>0.93055555555555569</v>
      </c>
      <c r="H56" s="1">
        <v>0.7</v>
      </c>
      <c r="I56" s="1" t="b">
        <v>0</v>
      </c>
      <c r="J56" s="1">
        <v>115.4</v>
      </c>
      <c r="K56" s="1">
        <v>461.6</v>
      </c>
      <c r="L56" s="1">
        <v>100</v>
      </c>
      <c r="M56" s="1">
        <v>1</v>
      </c>
      <c r="N56" s="1">
        <v>0</v>
      </c>
      <c r="O56" s="1">
        <v>0</v>
      </c>
      <c r="P56" s="1" t="s">
        <v>55</v>
      </c>
      <c r="Q56" s="4">
        <v>11329554.510947101</v>
      </c>
      <c r="R56" s="1" t="s">
        <v>17</v>
      </c>
      <c r="S56" s="1" t="s">
        <v>17</v>
      </c>
      <c r="T56" s="1" t="s">
        <v>17</v>
      </c>
      <c r="U56" s="1" t="s">
        <v>17</v>
      </c>
      <c r="V56" s="1" t="s">
        <v>58</v>
      </c>
      <c r="W56" s="1" t="s">
        <v>18</v>
      </c>
      <c r="X56" s="1" t="s">
        <v>53</v>
      </c>
      <c r="Y56" s="1" t="s">
        <v>113</v>
      </c>
    </row>
    <row r="57" spans="1:25">
      <c r="A57" s="19" t="s">
        <v>326</v>
      </c>
      <c r="B57" s="6" t="s">
        <v>109</v>
      </c>
      <c r="C57" s="1" t="s">
        <v>89</v>
      </c>
      <c r="D57" s="1" t="s">
        <v>105</v>
      </c>
      <c r="E57" s="1">
        <v>0.125</v>
      </c>
      <c r="F57" s="1">
        <v>0.25</v>
      </c>
      <c r="G57" s="30">
        <f t="shared" si="0"/>
        <v>0.44444444444444442</v>
      </c>
      <c r="H57" s="1">
        <v>0.7</v>
      </c>
      <c r="I57" s="1" t="b">
        <v>0</v>
      </c>
      <c r="J57" s="1">
        <v>115.4</v>
      </c>
      <c r="K57" s="1">
        <v>461.6</v>
      </c>
      <c r="L57" s="1">
        <v>100</v>
      </c>
      <c r="M57" s="1">
        <v>1</v>
      </c>
      <c r="N57" s="1">
        <v>0</v>
      </c>
      <c r="O57" s="1">
        <v>0</v>
      </c>
      <c r="P57" s="1" t="s">
        <v>199</v>
      </c>
      <c r="Q57" s="4">
        <v>3132727.88265232</v>
      </c>
      <c r="R57" s="1" t="s">
        <v>17</v>
      </c>
      <c r="S57" s="1" t="s">
        <v>17</v>
      </c>
      <c r="T57" s="1" t="s">
        <v>17</v>
      </c>
      <c r="U57" s="1" t="s">
        <v>17</v>
      </c>
      <c r="V57" s="1" t="s">
        <v>58</v>
      </c>
      <c r="W57" s="1" t="s">
        <v>18</v>
      </c>
      <c r="X57" s="1" t="s">
        <v>21</v>
      </c>
      <c r="Y57" s="1" t="s">
        <v>269</v>
      </c>
    </row>
    <row r="58" spans="1:25">
      <c r="A58" s="19" t="s">
        <v>327</v>
      </c>
      <c r="B58" s="6" t="s">
        <v>110</v>
      </c>
      <c r="C58" s="1" t="s">
        <v>89</v>
      </c>
      <c r="D58" s="1" t="s">
        <v>105</v>
      </c>
      <c r="E58" s="1">
        <v>0.23</v>
      </c>
      <c r="F58" s="1">
        <v>0.25</v>
      </c>
      <c r="G58" s="30">
        <f t="shared" si="0"/>
        <v>0.87500000000000011</v>
      </c>
      <c r="H58" s="1">
        <v>0.8</v>
      </c>
      <c r="I58" s="1" t="b">
        <v>0</v>
      </c>
      <c r="J58" s="1">
        <v>115.4</v>
      </c>
      <c r="K58" s="1">
        <v>230.8</v>
      </c>
      <c r="L58" s="1">
        <v>100</v>
      </c>
      <c r="M58" s="1">
        <v>1</v>
      </c>
      <c r="N58" s="1">
        <v>0</v>
      </c>
      <c r="O58" s="1">
        <v>0</v>
      </c>
      <c r="P58" s="1" t="s">
        <v>200</v>
      </c>
      <c r="Q58" s="4">
        <v>4981684.7654865803</v>
      </c>
      <c r="R58" s="1" t="s">
        <v>17</v>
      </c>
      <c r="S58" s="1" t="s">
        <v>17</v>
      </c>
      <c r="T58" s="1" t="s">
        <v>17</v>
      </c>
      <c r="U58" s="1" t="s">
        <v>17</v>
      </c>
      <c r="V58" s="1" t="s">
        <v>58</v>
      </c>
      <c r="W58" s="1" t="s">
        <v>18</v>
      </c>
      <c r="X58" s="1" t="s">
        <v>21</v>
      </c>
      <c r="Y58" s="1" t="s">
        <v>270</v>
      </c>
    </row>
    <row r="59" spans="1:25">
      <c r="A59" s="19" t="s">
        <v>328</v>
      </c>
      <c r="B59" s="6" t="s">
        <v>265</v>
      </c>
      <c r="C59" s="1" t="s">
        <v>89</v>
      </c>
      <c r="D59" s="1" t="s">
        <v>105</v>
      </c>
      <c r="E59" s="1">
        <v>0.23</v>
      </c>
      <c r="F59" s="1">
        <v>0.25</v>
      </c>
      <c r="G59" s="30">
        <f t="shared" ref="G59" si="5">(E59*(K59/J59)-F59)/(0.5*(E59+F59)*(K59/J59-1))</f>
        <v>0.93055555555555569</v>
      </c>
      <c r="H59" s="1">
        <v>0.7</v>
      </c>
      <c r="I59" s="1" t="b">
        <v>0</v>
      </c>
      <c r="J59" s="1">
        <v>115.4</v>
      </c>
      <c r="K59" s="1">
        <v>461.6</v>
      </c>
      <c r="L59" s="1">
        <v>10</v>
      </c>
      <c r="M59" s="1">
        <v>1</v>
      </c>
      <c r="N59" s="1">
        <v>0</v>
      </c>
      <c r="O59" s="1">
        <v>0</v>
      </c>
      <c r="P59" s="1" t="s">
        <v>266</v>
      </c>
      <c r="Q59" s="4">
        <v>2652033.0392030501</v>
      </c>
      <c r="R59" s="1" t="s">
        <v>17</v>
      </c>
      <c r="S59" s="1" t="s">
        <v>17</v>
      </c>
      <c r="T59" s="1" t="s">
        <v>17</v>
      </c>
      <c r="U59" s="1" t="s">
        <v>17</v>
      </c>
      <c r="V59" s="1" t="s">
        <v>58</v>
      </c>
      <c r="W59" s="1" t="s">
        <v>18</v>
      </c>
      <c r="X59" s="1" t="s">
        <v>21</v>
      </c>
      <c r="Y59" s="1" t="s">
        <v>269</v>
      </c>
    </row>
    <row r="60" spans="1:25">
      <c r="G60" s="30"/>
    </row>
    <row r="61" spans="1:25">
      <c r="A61" s="6" t="s">
        <v>201</v>
      </c>
      <c r="G61" s="30"/>
    </row>
    <row r="62" spans="1:25">
      <c r="A62" s="20" t="s">
        <v>329</v>
      </c>
      <c r="B62" s="6" t="s">
        <v>202</v>
      </c>
      <c r="C62" s="1" t="s">
        <v>89</v>
      </c>
      <c r="D62" s="1" t="s">
        <v>205</v>
      </c>
      <c r="E62" s="1">
        <v>0.23</v>
      </c>
      <c r="F62" s="1">
        <v>0.25</v>
      </c>
      <c r="G62" s="30">
        <f>(E62*(K62/J62)-F62)/(0.5*(E62+F62)*(K62/J62-1))</f>
        <v>0.93055555555555569</v>
      </c>
      <c r="H62" s="1">
        <v>1.25</v>
      </c>
      <c r="I62" s="1" t="b">
        <v>0</v>
      </c>
      <c r="J62" s="1">
        <v>115.4</v>
      </c>
      <c r="K62" s="1">
        <v>461.6</v>
      </c>
      <c r="L62" s="1">
        <v>100</v>
      </c>
      <c r="M62" s="1">
        <v>1</v>
      </c>
      <c r="N62" s="1">
        <v>0</v>
      </c>
      <c r="O62" s="1">
        <v>0</v>
      </c>
      <c r="P62" s="1" t="s">
        <v>206</v>
      </c>
      <c r="Q62" s="1" t="s">
        <v>17</v>
      </c>
      <c r="R62" s="1" t="s">
        <v>45</v>
      </c>
      <c r="S62" s="1" t="s">
        <v>207</v>
      </c>
      <c r="T62" s="1" t="s">
        <v>17</v>
      </c>
      <c r="U62" s="1" t="s">
        <v>17</v>
      </c>
      <c r="V62" s="1" t="s">
        <v>58</v>
      </c>
      <c r="W62" s="1" t="s">
        <v>18</v>
      </c>
      <c r="X62" s="1" t="s">
        <v>21</v>
      </c>
      <c r="Y62" s="1" t="s">
        <v>334</v>
      </c>
    </row>
    <row r="63" spans="1:25">
      <c r="A63" s="20" t="s">
        <v>330</v>
      </c>
      <c r="B63" s="6" t="s">
        <v>203</v>
      </c>
      <c r="C63" s="1" t="s">
        <v>89</v>
      </c>
      <c r="D63" s="1" t="s">
        <v>205</v>
      </c>
      <c r="E63" s="1">
        <v>0.23</v>
      </c>
      <c r="F63" s="1">
        <v>0.25</v>
      </c>
      <c r="G63" s="30">
        <f>(E63*(K63/J63)-F63)/(0.5*(E63+F63)*(K63/J63-1))</f>
        <v>0.93055555555555569</v>
      </c>
      <c r="H63" s="1">
        <v>1.25</v>
      </c>
      <c r="I63" s="1" t="b">
        <v>0</v>
      </c>
      <c r="J63" s="1">
        <v>115.4</v>
      </c>
      <c r="K63" s="1">
        <v>461.6</v>
      </c>
      <c r="L63" s="1">
        <v>100</v>
      </c>
      <c r="M63" s="1">
        <v>1</v>
      </c>
      <c r="N63" s="1">
        <v>0</v>
      </c>
      <c r="O63" s="1">
        <v>0</v>
      </c>
      <c r="P63" s="1" t="s">
        <v>206</v>
      </c>
      <c r="Q63" s="1" t="s">
        <v>17</v>
      </c>
      <c r="R63" s="1" t="s">
        <v>48</v>
      </c>
      <c r="S63" s="1" t="s">
        <v>207</v>
      </c>
      <c r="T63" s="1" t="s">
        <v>17</v>
      </c>
      <c r="U63" s="1" t="s">
        <v>17</v>
      </c>
      <c r="V63" s="1" t="s">
        <v>58</v>
      </c>
      <c r="W63" s="1" t="s">
        <v>18</v>
      </c>
      <c r="X63" s="1" t="s">
        <v>21</v>
      </c>
      <c r="Y63" s="1" t="s">
        <v>334</v>
      </c>
    </row>
    <row r="64" spans="1:25">
      <c r="A64" s="20" t="s">
        <v>331</v>
      </c>
      <c r="B64" s="6" t="s">
        <v>204</v>
      </c>
      <c r="C64" s="1" t="s">
        <v>89</v>
      </c>
      <c r="D64" s="1" t="s">
        <v>205</v>
      </c>
      <c r="E64" s="1">
        <v>0.23</v>
      </c>
      <c r="F64" s="1">
        <v>0.25</v>
      </c>
      <c r="G64" s="30">
        <f>(E64*(K64/J64)-F64)/(0.5*(E64+F64)*(K64/J64-1))</f>
        <v>0.93055555555555569</v>
      </c>
      <c r="H64" s="1">
        <v>1.25</v>
      </c>
      <c r="I64" s="1" t="b">
        <v>0</v>
      </c>
      <c r="J64" s="1">
        <v>115.4</v>
      </c>
      <c r="K64" s="1">
        <v>461.6</v>
      </c>
      <c r="L64" s="1">
        <v>100</v>
      </c>
      <c r="M64" s="1">
        <v>1</v>
      </c>
      <c r="N64" s="1">
        <v>0</v>
      </c>
      <c r="O64" s="1">
        <v>0</v>
      </c>
      <c r="P64" s="1" t="s">
        <v>206</v>
      </c>
      <c r="Q64" s="1" t="s">
        <v>17</v>
      </c>
      <c r="R64" s="1" t="s">
        <v>114</v>
      </c>
      <c r="S64" s="1" t="s">
        <v>207</v>
      </c>
      <c r="T64" s="1" t="s">
        <v>17</v>
      </c>
      <c r="U64" s="1" t="s">
        <v>17</v>
      </c>
      <c r="V64" s="1" t="s">
        <v>58</v>
      </c>
      <c r="W64" s="1" t="s">
        <v>18</v>
      </c>
      <c r="X64" s="1" t="s">
        <v>21</v>
      </c>
      <c r="Y64" s="1" t="s">
        <v>334</v>
      </c>
    </row>
    <row r="65" spans="7:7">
      <c r="G65" s="30"/>
    </row>
    <row r="66" spans="7:7">
      <c r="G66" s="30"/>
    </row>
    <row r="67" spans="7:7">
      <c r="G67" s="30"/>
    </row>
    <row r="68" spans="7:7">
      <c r="G68" s="30"/>
    </row>
    <row r="69" spans="7:7">
      <c r="G69" s="30"/>
    </row>
    <row r="70" spans="7:7">
      <c r="G70" s="30"/>
    </row>
    <row r="71" spans="7:7">
      <c r="G71" s="30"/>
    </row>
    <row r="72" spans="7:7">
      <c r="G72" s="30"/>
    </row>
    <row r="92" spans="1:25">
      <c r="A92" s="6" t="s">
        <v>177</v>
      </c>
      <c r="G92" s="30"/>
    </row>
    <row r="93" spans="1:25">
      <c r="A93" s="1" t="s">
        <v>174</v>
      </c>
      <c r="B93" s="6" t="s">
        <v>126</v>
      </c>
      <c r="C93" s="1" t="s">
        <v>75</v>
      </c>
      <c r="D93" s="1" t="s">
        <v>76</v>
      </c>
      <c r="E93" s="1">
        <v>0.1</v>
      </c>
      <c r="F93" s="1">
        <v>0.75</v>
      </c>
      <c r="G93" s="30">
        <f t="shared" ref="G93:G104" si="6">(E93*(K93/J93)-F93)/(0.5*(E93+F93)*(K93/J93-1))</f>
        <v>-0.27450980392156865</v>
      </c>
      <c r="H93" s="1">
        <v>1</v>
      </c>
      <c r="I93" s="1" t="b">
        <v>1</v>
      </c>
      <c r="J93" s="1">
        <v>115.4</v>
      </c>
      <c r="K93" s="1">
        <v>461.6</v>
      </c>
      <c r="M93" s="1" t="s">
        <v>15</v>
      </c>
      <c r="N93" s="1" t="s">
        <v>15</v>
      </c>
      <c r="O93" s="1" t="s">
        <v>15</v>
      </c>
      <c r="P93" s="1" t="s">
        <v>71</v>
      </c>
      <c r="Q93" s="1" t="s">
        <v>17</v>
      </c>
      <c r="R93" s="1" t="s">
        <v>17</v>
      </c>
      <c r="S93" s="1" t="s">
        <v>17</v>
      </c>
      <c r="T93" s="1" t="s">
        <v>17</v>
      </c>
      <c r="U93" s="1" t="s">
        <v>17</v>
      </c>
      <c r="V93" s="1" t="s">
        <v>58</v>
      </c>
      <c r="W93" s="1" t="s">
        <v>18</v>
      </c>
      <c r="X93" s="1" t="s">
        <v>21</v>
      </c>
      <c r="Y93" s="1" t="s">
        <v>82</v>
      </c>
    </row>
    <row r="94" spans="1:25">
      <c r="A94" s="1" t="s">
        <v>175</v>
      </c>
      <c r="B94" s="6" t="s">
        <v>127</v>
      </c>
      <c r="C94" s="1" t="s">
        <v>75</v>
      </c>
      <c r="D94" s="1" t="s">
        <v>76</v>
      </c>
      <c r="E94" s="1">
        <v>0.1</v>
      </c>
      <c r="F94" s="1">
        <v>0.75</v>
      </c>
      <c r="G94" s="30">
        <f t="shared" si="6"/>
        <v>-0.27450980392156865</v>
      </c>
      <c r="H94" s="1">
        <v>0.8</v>
      </c>
      <c r="I94" s="1" t="b">
        <v>0</v>
      </c>
      <c r="J94" s="1">
        <v>115.4</v>
      </c>
      <c r="K94" s="1">
        <v>461.6</v>
      </c>
      <c r="M94" s="1" t="s">
        <v>15</v>
      </c>
      <c r="N94" s="1" t="s">
        <v>15</v>
      </c>
      <c r="O94" s="1" t="s">
        <v>15</v>
      </c>
      <c r="P94" s="1" t="s">
        <v>78</v>
      </c>
      <c r="Q94" s="1" t="s">
        <v>17</v>
      </c>
      <c r="R94" s="1" t="s">
        <v>17</v>
      </c>
      <c r="S94" s="1" t="s">
        <v>17</v>
      </c>
      <c r="T94" s="1" t="s">
        <v>17</v>
      </c>
      <c r="U94" s="1" t="s">
        <v>17</v>
      </c>
      <c r="V94" s="1" t="s">
        <v>58</v>
      </c>
      <c r="W94" s="1" t="s">
        <v>18</v>
      </c>
      <c r="X94" s="1" t="s">
        <v>21</v>
      </c>
      <c r="Y94" s="1" t="s">
        <v>82</v>
      </c>
    </row>
    <row r="95" spans="1:25">
      <c r="A95" s="1" t="s">
        <v>176</v>
      </c>
      <c r="B95" s="6" t="s">
        <v>128</v>
      </c>
      <c r="C95" s="1" t="s">
        <v>75</v>
      </c>
      <c r="D95" s="1" t="s">
        <v>76</v>
      </c>
      <c r="E95" s="1">
        <v>0.1</v>
      </c>
      <c r="F95" s="1">
        <v>0.75</v>
      </c>
      <c r="G95" s="30">
        <f t="shared" si="6"/>
        <v>-0.27450980392156865</v>
      </c>
      <c r="H95" s="1">
        <v>0.4</v>
      </c>
      <c r="I95" s="1" t="b">
        <v>0</v>
      </c>
      <c r="J95" s="1">
        <v>115.4</v>
      </c>
      <c r="K95" s="1">
        <v>461.6</v>
      </c>
      <c r="M95" s="1" t="s">
        <v>15</v>
      </c>
      <c r="N95" s="1" t="s">
        <v>15</v>
      </c>
      <c r="O95" s="1" t="s">
        <v>15</v>
      </c>
      <c r="P95" s="1" t="s">
        <v>79</v>
      </c>
      <c r="Q95" s="1" t="s">
        <v>17</v>
      </c>
      <c r="R95" s="1" t="s">
        <v>17</v>
      </c>
      <c r="S95" s="1" t="s">
        <v>17</v>
      </c>
      <c r="T95" s="1" t="s">
        <v>17</v>
      </c>
      <c r="U95" s="1" t="s">
        <v>17</v>
      </c>
      <c r="V95" s="1" t="s">
        <v>58</v>
      </c>
      <c r="W95" s="1" t="s">
        <v>18</v>
      </c>
      <c r="X95" s="1" t="s">
        <v>21</v>
      </c>
      <c r="Y95" s="1" t="s">
        <v>82</v>
      </c>
    </row>
    <row r="96" spans="1:25">
      <c r="A96" s="1" t="s">
        <v>178</v>
      </c>
      <c r="B96" s="6" t="s">
        <v>129</v>
      </c>
      <c r="C96" s="1" t="s">
        <v>75</v>
      </c>
      <c r="D96" s="1" t="s">
        <v>76</v>
      </c>
      <c r="E96" s="1">
        <v>0.18</v>
      </c>
      <c r="F96" s="1">
        <v>0.75</v>
      </c>
      <c r="G96" s="30">
        <f t="shared" si="6"/>
        <v>-2.1505376344086041E-2</v>
      </c>
      <c r="H96" s="1">
        <v>1</v>
      </c>
      <c r="I96" s="1" t="b">
        <v>1</v>
      </c>
      <c r="J96" s="1">
        <v>115.4</v>
      </c>
      <c r="K96" s="1">
        <v>461.6</v>
      </c>
      <c r="M96" s="1" t="s">
        <v>15</v>
      </c>
      <c r="N96" s="1" t="s">
        <v>15</v>
      </c>
      <c r="O96" s="1" t="s">
        <v>15</v>
      </c>
      <c r="P96" s="1" t="s">
        <v>71</v>
      </c>
      <c r="Q96" s="1" t="s">
        <v>17</v>
      </c>
      <c r="R96" s="1" t="s">
        <v>17</v>
      </c>
      <c r="S96" s="1" t="s">
        <v>17</v>
      </c>
      <c r="T96" s="1" t="s">
        <v>17</v>
      </c>
      <c r="U96" s="1" t="s">
        <v>17</v>
      </c>
      <c r="V96" s="1" t="s">
        <v>58</v>
      </c>
      <c r="W96" s="1" t="s">
        <v>18</v>
      </c>
      <c r="X96" s="1" t="s">
        <v>21</v>
      </c>
      <c r="Y96" s="1" t="s">
        <v>82</v>
      </c>
    </row>
    <row r="97" spans="1:25">
      <c r="A97" s="1" t="s">
        <v>179</v>
      </c>
      <c r="B97" s="6" t="s">
        <v>130</v>
      </c>
      <c r="C97" s="1" t="s">
        <v>75</v>
      </c>
      <c r="D97" s="1" t="s">
        <v>76</v>
      </c>
      <c r="E97" s="1">
        <v>0.18</v>
      </c>
      <c r="F97" s="1">
        <v>0.75</v>
      </c>
      <c r="G97" s="30">
        <f t="shared" si="6"/>
        <v>-2.1505376344086041E-2</v>
      </c>
      <c r="H97" s="1">
        <v>0.8</v>
      </c>
      <c r="I97" s="1" t="b">
        <v>0</v>
      </c>
      <c r="J97" s="1">
        <v>115.4</v>
      </c>
      <c r="K97" s="1">
        <v>461.6</v>
      </c>
      <c r="M97" s="1" t="s">
        <v>15</v>
      </c>
      <c r="N97" s="1" t="s">
        <v>15</v>
      </c>
      <c r="O97" s="1" t="s">
        <v>15</v>
      </c>
      <c r="P97" s="1" t="s">
        <v>80</v>
      </c>
      <c r="Q97" s="1" t="s">
        <v>17</v>
      </c>
      <c r="R97" s="1" t="s">
        <v>17</v>
      </c>
      <c r="S97" s="1" t="s">
        <v>17</v>
      </c>
      <c r="T97" s="1" t="s">
        <v>17</v>
      </c>
      <c r="U97" s="1" t="s">
        <v>17</v>
      </c>
      <c r="V97" s="1" t="s">
        <v>58</v>
      </c>
      <c r="W97" s="1" t="s">
        <v>18</v>
      </c>
      <c r="X97" s="1" t="s">
        <v>21</v>
      </c>
      <c r="Y97" s="1" t="s">
        <v>82</v>
      </c>
    </row>
    <row r="98" spans="1:25">
      <c r="A98" s="1" t="s">
        <v>180</v>
      </c>
      <c r="B98" s="6" t="s">
        <v>131</v>
      </c>
      <c r="C98" s="1" t="s">
        <v>75</v>
      </c>
      <c r="D98" s="1" t="s">
        <v>76</v>
      </c>
      <c r="E98" s="1">
        <v>0.18</v>
      </c>
      <c r="F98" s="1">
        <v>0.75</v>
      </c>
      <c r="G98" s="30">
        <f t="shared" si="6"/>
        <v>-2.1505376344086041E-2</v>
      </c>
      <c r="H98" s="1">
        <v>0.4</v>
      </c>
      <c r="I98" s="1" t="b">
        <v>0</v>
      </c>
      <c r="J98" s="1">
        <v>115.4</v>
      </c>
      <c r="K98" s="1">
        <v>461.6</v>
      </c>
      <c r="M98" s="1" t="s">
        <v>15</v>
      </c>
      <c r="N98" s="1" t="s">
        <v>15</v>
      </c>
      <c r="O98" s="1" t="s">
        <v>15</v>
      </c>
      <c r="P98" s="1" t="s">
        <v>81</v>
      </c>
      <c r="Q98" s="1" t="s">
        <v>17</v>
      </c>
      <c r="R98" s="1" t="s">
        <v>17</v>
      </c>
      <c r="S98" s="1" t="s">
        <v>17</v>
      </c>
      <c r="T98" s="1" t="s">
        <v>17</v>
      </c>
      <c r="U98" s="1" t="s">
        <v>17</v>
      </c>
      <c r="V98" s="1" t="s">
        <v>58</v>
      </c>
      <c r="W98" s="1" t="s">
        <v>18</v>
      </c>
      <c r="X98" s="1" t="s">
        <v>21</v>
      </c>
      <c r="Y98" s="1" t="s">
        <v>82</v>
      </c>
    </row>
    <row r="99" spans="1:25">
      <c r="A99" s="1" t="s">
        <v>181</v>
      </c>
      <c r="B99" s="6" t="s">
        <v>83</v>
      </c>
      <c r="C99" s="1" t="s">
        <v>75</v>
      </c>
      <c r="D99" s="1" t="s">
        <v>76</v>
      </c>
      <c r="E99" s="1">
        <v>0.25</v>
      </c>
      <c r="F99" s="1">
        <v>0.75</v>
      </c>
      <c r="G99" s="30">
        <f t="shared" si="6"/>
        <v>0.16666666666666666</v>
      </c>
      <c r="H99" s="1">
        <v>1</v>
      </c>
      <c r="I99" s="1" t="b">
        <v>1</v>
      </c>
      <c r="J99" s="1">
        <v>115.4</v>
      </c>
      <c r="K99" s="1">
        <v>461.6</v>
      </c>
      <c r="M99" s="1" t="s">
        <v>15</v>
      </c>
      <c r="N99" s="1" t="s">
        <v>15</v>
      </c>
      <c r="O99" s="1" t="s">
        <v>15</v>
      </c>
      <c r="P99" s="1" t="s">
        <v>71</v>
      </c>
      <c r="Q99" s="1" t="s">
        <v>17</v>
      </c>
      <c r="R99" s="1" t="s">
        <v>17</v>
      </c>
      <c r="S99" s="1" t="s">
        <v>17</v>
      </c>
      <c r="T99" s="1" t="s">
        <v>17</v>
      </c>
      <c r="U99" s="1" t="s">
        <v>17</v>
      </c>
      <c r="V99" s="1" t="s">
        <v>58</v>
      </c>
      <c r="W99" s="1" t="s">
        <v>18</v>
      </c>
      <c r="X99" s="1" t="s">
        <v>21</v>
      </c>
      <c r="Y99" s="1" t="s">
        <v>82</v>
      </c>
    </row>
    <row r="100" spans="1:25">
      <c r="A100" s="1" t="s">
        <v>182</v>
      </c>
      <c r="B100" s="6" t="s">
        <v>132</v>
      </c>
      <c r="C100" s="1" t="s">
        <v>75</v>
      </c>
      <c r="D100" s="1" t="s">
        <v>76</v>
      </c>
      <c r="E100" s="1">
        <v>0.25</v>
      </c>
      <c r="F100" s="1">
        <v>0.75</v>
      </c>
      <c r="G100" s="30">
        <f t="shared" si="6"/>
        <v>0.16666666666666666</v>
      </c>
      <c r="H100" s="1">
        <v>0.8</v>
      </c>
      <c r="I100" s="1" t="b">
        <v>0</v>
      </c>
      <c r="J100" s="1">
        <v>115.4</v>
      </c>
      <c r="K100" s="1">
        <v>461.6</v>
      </c>
      <c r="M100" s="1" t="s">
        <v>15</v>
      </c>
      <c r="N100" s="1" t="s">
        <v>15</v>
      </c>
      <c r="O100" s="1" t="s">
        <v>15</v>
      </c>
      <c r="P100" s="1" t="s">
        <v>85</v>
      </c>
      <c r="Q100" s="4">
        <v>6400000</v>
      </c>
      <c r="R100" s="1" t="s">
        <v>17</v>
      </c>
      <c r="S100" s="1" t="s">
        <v>17</v>
      </c>
      <c r="T100" s="1" t="s">
        <v>17</v>
      </c>
      <c r="U100" s="1" t="s">
        <v>17</v>
      </c>
      <c r="V100" s="1" t="s">
        <v>58</v>
      </c>
      <c r="W100" s="1" t="s">
        <v>18</v>
      </c>
      <c r="X100" s="1" t="s">
        <v>21</v>
      </c>
      <c r="Y100" s="1" t="s">
        <v>82</v>
      </c>
    </row>
    <row r="101" spans="1:25">
      <c r="A101" s="1" t="s">
        <v>183</v>
      </c>
      <c r="B101" s="6" t="s">
        <v>133</v>
      </c>
      <c r="C101" s="1" t="s">
        <v>75</v>
      </c>
      <c r="D101" s="1" t="s">
        <v>76</v>
      </c>
      <c r="E101" s="1">
        <v>0.25</v>
      </c>
      <c r="F101" s="1">
        <v>0.75</v>
      </c>
      <c r="G101" s="30">
        <f t="shared" si="6"/>
        <v>0.16666666666666666</v>
      </c>
      <c r="H101" s="1">
        <v>0.4</v>
      </c>
      <c r="I101" s="1" t="b">
        <v>0</v>
      </c>
      <c r="J101" s="1">
        <v>115.4</v>
      </c>
      <c r="K101" s="1">
        <v>461.6</v>
      </c>
      <c r="M101" s="1" t="s">
        <v>15</v>
      </c>
      <c r="N101" s="1" t="s">
        <v>15</v>
      </c>
      <c r="O101" s="1" t="s">
        <v>15</v>
      </c>
      <c r="P101" s="1" t="s">
        <v>81</v>
      </c>
      <c r="Q101" s="1" t="s">
        <v>17</v>
      </c>
      <c r="R101" s="1" t="s">
        <v>17</v>
      </c>
      <c r="S101" s="1" t="s">
        <v>17</v>
      </c>
      <c r="T101" s="1" t="s">
        <v>17</v>
      </c>
      <c r="U101" s="1" t="s">
        <v>17</v>
      </c>
      <c r="V101" s="1" t="s">
        <v>58</v>
      </c>
      <c r="W101" s="1" t="s">
        <v>18</v>
      </c>
      <c r="X101" s="1" t="s">
        <v>21</v>
      </c>
      <c r="Y101" s="1" t="s">
        <v>82</v>
      </c>
    </row>
    <row r="102" spans="1:25">
      <c r="A102" s="1" t="s">
        <v>184</v>
      </c>
      <c r="B102" s="6" t="s">
        <v>84</v>
      </c>
      <c r="C102" s="1" t="s">
        <v>75</v>
      </c>
      <c r="D102" s="1" t="s">
        <v>76</v>
      </c>
      <c r="E102" s="1">
        <v>0.23</v>
      </c>
      <c r="F102" s="1">
        <v>0.25</v>
      </c>
      <c r="G102" s="30">
        <f t="shared" si="6"/>
        <v>0.93055555555555569</v>
      </c>
      <c r="H102" s="1">
        <v>1</v>
      </c>
      <c r="I102" s="1" t="b">
        <v>1</v>
      </c>
      <c r="J102" s="1">
        <v>115.4</v>
      </c>
      <c r="K102" s="1">
        <v>461.6</v>
      </c>
      <c r="M102" s="1" t="s">
        <v>15</v>
      </c>
      <c r="N102" s="1" t="s">
        <v>15</v>
      </c>
      <c r="O102" s="1" t="s">
        <v>15</v>
      </c>
      <c r="P102" s="1" t="s">
        <v>71</v>
      </c>
      <c r="Q102" s="1" t="s">
        <v>17</v>
      </c>
      <c r="R102" s="1" t="s">
        <v>17</v>
      </c>
      <c r="S102" s="1" t="s">
        <v>17</v>
      </c>
      <c r="T102" s="1" t="s">
        <v>17</v>
      </c>
      <c r="U102" s="1" t="s">
        <v>17</v>
      </c>
      <c r="V102" s="1" t="s">
        <v>58</v>
      </c>
      <c r="W102" s="1" t="s">
        <v>18</v>
      </c>
      <c r="X102" s="1" t="s">
        <v>21</v>
      </c>
      <c r="Y102" s="1" t="s">
        <v>82</v>
      </c>
    </row>
    <row r="103" spans="1:25">
      <c r="A103" s="1" t="s">
        <v>185</v>
      </c>
      <c r="B103" s="6" t="s">
        <v>134</v>
      </c>
      <c r="C103" s="1" t="s">
        <v>75</v>
      </c>
      <c r="D103" s="1" t="s">
        <v>76</v>
      </c>
      <c r="E103" s="1">
        <v>0.23</v>
      </c>
      <c r="F103" s="1">
        <v>0.25</v>
      </c>
      <c r="G103" s="30">
        <f t="shared" si="6"/>
        <v>0.93055555555555569</v>
      </c>
      <c r="H103" s="1">
        <v>0.8</v>
      </c>
      <c r="I103" s="1" t="b">
        <v>0</v>
      </c>
      <c r="J103" s="1">
        <v>115.4</v>
      </c>
      <c r="K103" s="1">
        <v>461.6</v>
      </c>
      <c r="M103" s="1" t="s">
        <v>15</v>
      </c>
      <c r="N103" s="1" t="s">
        <v>15</v>
      </c>
      <c r="O103" s="1" t="s">
        <v>15</v>
      </c>
      <c r="P103" s="1" t="s">
        <v>25</v>
      </c>
      <c r="Q103" s="4">
        <v>11000000</v>
      </c>
      <c r="R103" s="1" t="s">
        <v>17</v>
      </c>
      <c r="S103" s="1" t="s">
        <v>17</v>
      </c>
      <c r="T103" s="1" t="s">
        <v>17</v>
      </c>
      <c r="U103" s="1" t="s">
        <v>17</v>
      </c>
      <c r="V103" s="1" t="s">
        <v>58</v>
      </c>
      <c r="W103" s="1" t="s">
        <v>18</v>
      </c>
      <c r="X103" s="1" t="s">
        <v>21</v>
      </c>
      <c r="Y103" s="1" t="s">
        <v>82</v>
      </c>
    </row>
    <row r="104" spans="1:25">
      <c r="A104" s="1" t="s">
        <v>186</v>
      </c>
      <c r="B104" s="6" t="s">
        <v>135</v>
      </c>
      <c r="C104" s="1" t="s">
        <v>75</v>
      </c>
      <c r="D104" s="1" t="s">
        <v>76</v>
      </c>
      <c r="E104" s="1">
        <v>0.23</v>
      </c>
      <c r="F104" s="1">
        <v>0.25</v>
      </c>
      <c r="G104" s="30">
        <f t="shared" si="6"/>
        <v>0.93055555555555569</v>
      </c>
      <c r="H104" s="1">
        <v>0.4</v>
      </c>
      <c r="I104" s="1" t="b">
        <v>0</v>
      </c>
      <c r="J104" s="1">
        <v>115.4</v>
      </c>
      <c r="K104" s="1">
        <v>461.6</v>
      </c>
      <c r="M104" s="1" t="s">
        <v>15</v>
      </c>
      <c r="N104" s="1" t="s">
        <v>15</v>
      </c>
      <c r="O104" s="1" t="s">
        <v>15</v>
      </c>
      <c r="P104" s="1" t="s">
        <v>81</v>
      </c>
      <c r="Q104" s="1" t="s">
        <v>17</v>
      </c>
      <c r="R104" s="1" t="s">
        <v>17</v>
      </c>
      <c r="S104" s="1" t="s">
        <v>17</v>
      </c>
      <c r="T104" s="1" t="s">
        <v>17</v>
      </c>
      <c r="U104" s="1" t="s">
        <v>17</v>
      </c>
      <c r="V104" s="1" t="s">
        <v>58</v>
      </c>
      <c r="W104" s="1" t="s">
        <v>18</v>
      </c>
      <c r="X104" s="1" t="s">
        <v>21</v>
      </c>
      <c r="Y104" s="1" t="s">
        <v>82</v>
      </c>
    </row>
    <row r="106" spans="1:25">
      <c r="A106" t="s">
        <v>171</v>
      </c>
      <c r="B106"/>
      <c r="C106"/>
      <c r="D106"/>
      <c r="E106"/>
      <c r="F106"/>
      <c r="G106" s="30"/>
      <c r="H106"/>
      <c r="I106"/>
    </row>
    <row r="107" spans="1:25">
      <c r="A107" s="16" t="s">
        <v>59</v>
      </c>
      <c r="B107" s="6" t="s">
        <v>115</v>
      </c>
      <c r="C107" s="1" t="s">
        <v>75</v>
      </c>
      <c r="D107" s="1" t="s">
        <v>145</v>
      </c>
      <c r="E107" s="1">
        <v>0.15</v>
      </c>
      <c r="F107" s="1">
        <v>0.85</v>
      </c>
      <c r="G107" s="30"/>
      <c r="H107" s="1">
        <v>1</v>
      </c>
      <c r="I107" s="1" t="b">
        <v>1</v>
      </c>
      <c r="J107" s="1">
        <v>115.4</v>
      </c>
      <c r="K107" s="1">
        <v>115.4</v>
      </c>
      <c r="L107" s="1">
        <v>100</v>
      </c>
      <c r="M107" s="1" t="s">
        <v>15</v>
      </c>
      <c r="N107" s="1" t="s">
        <v>15</v>
      </c>
      <c r="O107" s="1" t="s">
        <v>15</v>
      </c>
      <c r="P107" s="1" t="s">
        <v>71</v>
      </c>
      <c r="Q107" s="1" t="s">
        <v>17</v>
      </c>
      <c r="R107" s="1" t="s">
        <v>17</v>
      </c>
      <c r="S107" s="1" t="s">
        <v>17</v>
      </c>
      <c r="T107" s="1" t="s">
        <v>17</v>
      </c>
      <c r="U107" s="1" t="s">
        <v>17</v>
      </c>
      <c r="V107" s="1" t="s">
        <v>58</v>
      </c>
      <c r="W107" s="1" t="s">
        <v>18</v>
      </c>
      <c r="X107" s="1" t="s">
        <v>21</v>
      </c>
      <c r="Y107" s="1" t="s">
        <v>82</v>
      </c>
    </row>
    <row r="108" spans="1:25">
      <c r="A108" s="16" t="s">
        <v>60</v>
      </c>
      <c r="B108" s="6" t="s">
        <v>116</v>
      </c>
      <c r="C108" s="1" t="s">
        <v>75</v>
      </c>
      <c r="D108" s="1" t="s">
        <v>145</v>
      </c>
      <c r="E108" s="1">
        <v>0.15</v>
      </c>
      <c r="F108" s="1">
        <v>0.85</v>
      </c>
      <c r="G108" s="30"/>
      <c r="H108" s="1">
        <v>1</v>
      </c>
      <c r="I108" s="1" t="b">
        <v>0</v>
      </c>
      <c r="J108" s="1">
        <v>115.4</v>
      </c>
      <c r="K108" s="1">
        <v>115.4</v>
      </c>
      <c r="L108" s="1">
        <v>100</v>
      </c>
      <c r="M108" s="1" t="s">
        <v>15</v>
      </c>
      <c r="N108" s="1" t="s">
        <v>15</v>
      </c>
      <c r="O108" s="1" t="s">
        <v>15</v>
      </c>
      <c r="P108" s="1" t="s">
        <v>187</v>
      </c>
      <c r="Q108" s="1" t="s">
        <v>17</v>
      </c>
      <c r="R108" s="1" t="s">
        <v>17</v>
      </c>
      <c r="S108" s="1" t="s">
        <v>17</v>
      </c>
      <c r="T108" s="1" t="s">
        <v>17</v>
      </c>
      <c r="U108" s="1" t="s">
        <v>17</v>
      </c>
      <c r="V108" s="1" t="s">
        <v>58</v>
      </c>
      <c r="W108" s="1" t="s">
        <v>18</v>
      </c>
      <c r="X108" s="1" t="s">
        <v>21</v>
      </c>
      <c r="Y108" s="1" t="s">
        <v>82</v>
      </c>
    </row>
    <row r="109" spans="1:25">
      <c r="A109" s="16" t="s">
        <v>61</v>
      </c>
      <c r="B109" s="6" t="s">
        <v>117</v>
      </c>
      <c r="C109" s="1" t="s">
        <v>75</v>
      </c>
      <c r="D109" s="1" t="s">
        <v>145</v>
      </c>
      <c r="E109" s="1">
        <v>0.15</v>
      </c>
      <c r="F109" s="1">
        <v>0.85</v>
      </c>
      <c r="G109" s="30"/>
      <c r="H109" s="1">
        <v>0.5</v>
      </c>
      <c r="I109" s="1" t="b">
        <v>0</v>
      </c>
      <c r="J109" s="1">
        <v>115.4</v>
      </c>
      <c r="K109" s="1">
        <v>115.4</v>
      </c>
      <c r="L109" s="1">
        <v>100</v>
      </c>
      <c r="M109" s="1" t="s">
        <v>15</v>
      </c>
      <c r="N109" s="1" t="s">
        <v>15</v>
      </c>
      <c r="O109" s="1" t="s">
        <v>15</v>
      </c>
      <c r="P109" s="1" t="s">
        <v>188</v>
      </c>
      <c r="Q109" s="1" t="s">
        <v>17</v>
      </c>
      <c r="R109" s="1" t="s">
        <v>17</v>
      </c>
      <c r="S109" s="1" t="s">
        <v>17</v>
      </c>
      <c r="T109" s="1" t="s">
        <v>17</v>
      </c>
      <c r="U109" s="1" t="s">
        <v>17</v>
      </c>
      <c r="V109" s="1" t="s">
        <v>58</v>
      </c>
      <c r="W109" s="1" t="s">
        <v>18</v>
      </c>
      <c r="X109" s="1" t="s">
        <v>21</v>
      </c>
      <c r="Y109" s="1" t="s">
        <v>82</v>
      </c>
    </row>
    <row r="110" spans="1:25">
      <c r="A110" s="16" t="s">
        <v>62</v>
      </c>
      <c r="B110" s="6" t="s">
        <v>118</v>
      </c>
      <c r="C110" s="1" t="s">
        <v>75</v>
      </c>
      <c r="D110" s="1" t="s">
        <v>145</v>
      </c>
      <c r="E110" s="1">
        <v>0.15</v>
      </c>
      <c r="F110" s="1">
        <v>0.85</v>
      </c>
      <c r="G110" s="30"/>
      <c r="H110" s="1">
        <v>1</v>
      </c>
      <c r="I110" s="1" t="b">
        <v>1</v>
      </c>
      <c r="J110" s="1">
        <v>461.6</v>
      </c>
      <c r="K110" s="1">
        <v>461.6</v>
      </c>
      <c r="L110" s="1">
        <v>100</v>
      </c>
      <c r="M110" s="1" t="s">
        <v>15</v>
      </c>
      <c r="N110" s="1" t="s">
        <v>15</v>
      </c>
      <c r="O110" s="1" t="s">
        <v>15</v>
      </c>
      <c r="P110" s="1" t="s">
        <v>77</v>
      </c>
      <c r="Q110" s="1" t="s">
        <v>17</v>
      </c>
      <c r="R110" s="1" t="s">
        <v>17</v>
      </c>
      <c r="S110" s="1" t="s">
        <v>17</v>
      </c>
      <c r="T110" s="1" t="s">
        <v>17</v>
      </c>
      <c r="U110" s="1" t="s">
        <v>17</v>
      </c>
      <c r="V110" s="1" t="s">
        <v>58</v>
      </c>
      <c r="W110" s="1" t="s">
        <v>18</v>
      </c>
      <c r="X110" s="1" t="s">
        <v>21</v>
      </c>
      <c r="Y110" s="1" t="s">
        <v>82</v>
      </c>
    </row>
    <row r="111" spans="1:25">
      <c r="A111" s="16" t="s">
        <v>63</v>
      </c>
      <c r="B111" s="6" t="s">
        <v>119</v>
      </c>
      <c r="C111" s="1" t="s">
        <v>75</v>
      </c>
      <c r="D111" s="1" t="s">
        <v>145</v>
      </c>
      <c r="E111" s="1">
        <v>0.15</v>
      </c>
      <c r="F111" s="1">
        <v>0.85</v>
      </c>
      <c r="G111" s="30"/>
      <c r="H111" s="1">
        <v>1</v>
      </c>
      <c r="I111" s="1" t="b">
        <v>0</v>
      </c>
      <c r="J111" s="1">
        <v>461.6</v>
      </c>
      <c r="K111" s="1">
        <v>461.6</v>
      </c>
      <c r="L111" s="1">
        <v>100</v>
      </c>
      <c r="M111" s="1" t="s">
        <v>15</v>
      </c>
      <c r="N111" s="1" t="s">
        <v>15</v>
      </c>
      <c r="O111" s="1" t="s">
        <v>15</v>
      </c>
      <c r="P111" s="1" t="s">
        <v>189</v>
      </c>
      <c r="Q111" s="1" t="s">
        <v>17</v>
      </c>
      <c r="R111" s="1" t="s">
        <v>17</v>
      </c>
      <c r="S111" s="1" t="s">
        <v>17</v>
      </c>
      <c r="T111" s="1" t="s">
        <v>17</v>
      </c>
      <c r="U111" s="1" t="s">
        <v>17</v>
      </c>
      <c r="V111" s="1" t="s">
        <v>58</v>
      </c>
      <c r="W111" s="1" t="s">
        <v>18</v>
      </c>
      <c r="X111" s="1" t="s">
        <v>21</v>
      </c>
      <c r="Y111" s="1" t="s">
        <v>82</v>
      </c>
    </row>
    <row r="112" spans="1:25">
      <c r="A112" s="16" t="s">
        <v>64</v>
      </c>
      <c r="B112" s="6" t="s">
        <v>120</v>
      </c>
      <c r="C112" s="1" t="s">
        <v>75</v>
      </c>
      <c r="D112" s="1" t="s">
        <v>145</v>
      </c>
      <c r="E112" s="1">
        <v>0.15</v>
      </c>
      <c r="F112" s="1">
        <v>0.85</v>
      </c>
      <c r="G112" s="30"/>
      <c r="H112" s="1">
        <v>0.5</v>
      </c>
      <c r="I112" s="1" t="b">
        <v>0</v>
      </c>
      <c r="J112" s="1">
        <v>461.6</v>
      </c>
      <c r="K112" s="1">
        <v>461.6</v>
      </c>
      <c r="L112" s="1">
        <v>100</v>
      </c>
      <c r="M112" s="1" t="s">
        <v>15</v>
      </c>
      <c r="N112" s="1" t="s">
        <v>15</v>
      </c>
      <c r="O112" s="1" t="s">
        <v>15</v>
      </c>
      <c r="P112" s="1" t="s">
        <v>190</v>
      </c>
      <c r="Q112" s="1" t="s">
        <v>17</v>
      </c>
      <c r="R112" s="1" t="s">
        <v>17</v>
      </c>
      <c r="S112" s="1" t="s">
        <v>17</v>
      </c>
      <c r="T112" s="1" t="s">
        <v>17</v>
      </c>
      <c r="U112" s="1" t="s">
        <v>17</v>
      </c>
      <c r="V112" s="1" t="s">
        <v>58</v>
      </c>
      <c r="W112" s="1" t="s">
        <v>18</v>
      </c>
      <c r="X112" s="1" t="s">
        <v>21</v>
      </c>
      <c r="Y112" s="1" t="s">
        <v>82</v>
      </c>
    </row>
    <row r="113" spans="1:25">
      <c r="A113" s="16" t="s">
        <v>65</v>
      </c>
      <c r="B113" s="6" t="s">
        <v>146</v>
      </c>
      <c r="C113" s="1" t="s">
        <v>75</v>
      </c>
      <c r="D113" s="1" t="s">
        <v>145</v>
      </c>
      <c r="E113" s="1">
        <v>0.05</v>
      </c>
      <c r="F113" s="1">
        <v>0.75</v>
      </c>
      <c r="G113" s="30">
        <f t="shared" ref="G113:G118" si="7">(E113*(K113/J113)-F113)/(0.5*(E113+F113)*(K113/J113-1))</f>
        <v>-0.45833333333333331</v>
      </c>
      <c r="H113" s="1">
        <v>1</v>
      </c>
      <c r="I113" s="1" t="b">
        <v>1</v>
      </c>
      <c r="J113" s="1">
        <v>115.4</v>
      </c>
      <c r="K113" s="1">
        <v>461.6</v>
      </c>
      <c r="L113" s="1">
        <v>100</v>
      </c>
      <c r="M113" s="1" t="s">
        <v>15</v>
      </c>
      <c r="N113" s="1" t="s">
        <v>15</v>
      </c>
      <c r="O113" s="1" t="s">
        <v>15</v>
      </c>
      <c r="P113" s="1" t="s">
        <v>71</v>
      </c>
      <c r="Q113" s="1" t="s">
        <v>17</v>
      </c>
      <c r="R113" s="1" t="s">
        <v>17</v>
      </c>
      <c r="S113" s="1" t="s">
        <v>17</v>
      </c>
      <c r="T113" s="1" t="s">
        <v>17</v>
      </c>
      <c r="U113" s="1" t="s">
        <v>17</v>
      </c>
      <c r="V113" s="1" t="s">
        <v>58</v>
      </c>
      <c r="W113" s="1" t="s">
        <v>18</v>
      </c>
      <c r="X113" s="1" t="s">
        <v>21</v>
      </c>
      <c r="Y113" s="1" t="s">
        <v>82</v>
      </c>
    </row>
    <row r="114" spans="1:25">
      <c r="A114" s="16" t="s">
        <v>66</v>
      </c>
      <c r="B114" s="6" t="s">
        <v>121</v>
      </c>
      <c r="C114" s="1" t="s">
        <v>75</v>
      </c>
      <c r="D114" s="1" t="s">
        <v>145</v>
      </c>
      <c r="E114" s="1">
        <v>0.05</v>
      </c>
      <c r="F114" s="1">
        <v>0.75</v>
      </c>
      <c r="G114" s="30">
        <f t="shared" si="7"/>
        <v>-0.45833333333333331</v>
      </c>
      <c r="H114" s="1">
        <v>1</v>
      </c>
      <c r="I114" s="1" t="b">
        <v>0</v>
      </c>
      <c r="J114" s="1">
        <v>115.4</v>
      </c>
      <c r="K114" s="1">
        <v>461.6</v>
      </c>
      <c r="L114" s="1">
        <v>100</v>
      </c>
      <c r="M114" s="1" t="s">
        <v>15</v>
      </c>
      <c r="N114" s="1" t="s">
        <v>15</v>
      </c>
      <c r="O114" s="1" t="s">
        <v>15</v>
      </c>
      <c r="P114" s="1" t="s">
        <v>191</v>
      </c>
      <c r="Q114" s="1" t="s">
        <v>17</v>
      </c>
      <c r="R114" s="1" t="s">
        <v>17</v>
      </c>
      <c r="S114" s="1" t="s">
        <v>17</v>
      </c>
      <c r="T114" s="1" t="s">
        <v>17</v>
      </c>
      <c r="U114" s="1" t="s">
        <v>17</v>
      </c>
      <c r="V114" s="1" t="s">
        <v>58</v>
      </c>
      <c r="W114" s="1" t="s">
        <v>18</v>
      </c>
      <c r="X114" s="1" t="s">
        <v>21</v>
      </c>
      <c r="Y114" s="1" t="s">
        <v>82</v>
      </c>
    </row>
    <row r="115" spans="1:25">
      <c r="A115" s="16" t="s">
        <v>67</v>
      </c>
      <c r="B115" s="6" t="s">
        <v>122</v>
      </c>
      <c r="C115" s="1" t="s">
        <v>75</v>
      </c>
      <c r="D115" s="1" t="s">
        <v>145</v>
      </c>
      <c r="E115" s="1">
        <v>0.05</v>
      </c>
      <c r="F115" s="1">
        <v>0.75</v>
      </c>
      <c r="G115" s="30">
        <f t="shared" si="7"/>
        <v>-0.45833333333333331</v>
      </c>
      <c r="H115" s="1">
        <v>0.5</v>
      </c>
      <c r="I115" s="1" t="b">
        <v>0</v>
      </c>
      <c r="J115" s="1">
        <v>115.4</v>
      </c>
      <c r="K115" s="1">
        <v>461.6</v>
      </c>
      <c r="L115" s="1">
        <v>100</v>
      </c>
      <c r="M115" s="1" t="s">
        <v>15</v>
      </c>
      <c r="N115" s="1" t="s">
        <v>15</v>
      </c>
      <c r="O115" s="1" t="s">
        <v>15</v>
      </c>
      <c r="P115" s="1" t="s">
        <v>192</v>
      </c>
      <c r="Q115" s="1" t="s">
        <v>17</v>
      </c>
      <c r="R115" s="1" t="s">
        <v>17</v>
      </c>
      <c r="S115" s="1" t="s">
        <v>17</v>
      </c>
      <c r="T115" s="1" t="s">
        <v>17</v>
      </c>
      <c r="U115" s="1" t="s">
        <v>17</v>
      </c>
      <c r="V115" s="1" t="s">
        <v>58</v>
      </c>
      <c r="W115" s="1" t="s">
        <v>18</v>
      </c>
      <c r="X115" s="1" t="s">
        <v>21</v>
      </c>
      <c r="Y115" s="1" t="s">
        <v>82</v>
      </c>
    </row>
    <row r="116" spans="1:25">
      <c r="A116" s="16" t="s">
        <v>68</v>
      </c>
      <c r="B116" s="6" t="s">
        <v>123</v>
      </c>
      <c r="C116" s="1" t="s">
        <v>75</v>
      </c>
      <c r="D116" s="1" t="s">
        <v>145</v>
      </c>
      <c r="E116" s="1">
        <v>0.15</v>
      </c>
      <c r="F116" s="1">
        <v>0.85</v>
      </c>
      <c r="G116" s="30">
        <f t="shared" si="7"/>
        <v>-0.16666666666666666</v>
      </c>
      <c r="H116" s="1">
        <v>1</v>
      </c>
      <c r="I116" s="1" t="b">
        <v>1</v>
      </c>
      <c r="J116" s="1">
        <v>115.4</v>
      </c>
      <c r="K116" s="1">
        <v>461.6</v>
      </c>
      <c r="L116" s="1">
        <v>100</v>
      </c>
      <c r="M116" s="1" t="s">
        <v>15</v>
      </c>
      <c r="N116" s="1" t="s">
        <v>15</v>
      </c>
      <c r="O116" s="1" t="s">
        <v>15</v>
      </c>
      <c r="P116" s="1" t="s">
        <v>71</v>
      </c>
      <c r="Q116" s="1" t="s">
        <v>17</v>
      </c>
      <c r="R116" s="1" t="s">
        <v>17</v>
      </c>
      <c r="S116" s="1" t="s">
        <v>17</v>
      </c>
      <c r="T116" s="1" t="s">
        <v>17</v>
      </c>
      <c r="U116" s="1" t="s">
        <v>17</v>
      </c>
      <c r="V116" s="1" t="s">
        <v>58</v>
      </c>
      <c r="W116" s="1" t="s">
        <v>18</v>
      </c>
      <c r="X116" s="1" t="s">
        <v>21</v>
      </c>
      <c r="Y116" s="1" t="s">
        <v>82</v>
      </c>
    </row>
    <row r="117" spans="1:25">
      <c r="A117" s="16" t="s">
        <v>69</v>
      </c>
      <c r="B117" s="6" t="s">
        <v>124</v>
      </c>
      <c r="C117" s="1" t="s">
        <v>75</v>
      </c>
      <c r="D117" s="1" t="s">
        <v>145</v>
      </c>
      <c r="E117" s="1">
        <v>0.15</v>
      </c>
      <c r="F117" s="1">
        <v>0.85</v>
      </c>
      <c r="G117" s="30">
        <f t="shared" si="7"/>
        <v>-0.16666666666666666</v>
      </c>
      <c r="H117" s="1">
        <v>1</v>
      </c>
      <c r="I117" s="1" t="b">
        <v>0</v>
      </c>
      <c r="J117" s="1">
        <v>115.4</v>
      </c>
      <c r="K117" s="1">
        <v>461.6</v>
      </c>
      <c r="L117" s="1">
        <v>100</v>
      </c>
      <c r="M117" s="1" t="s">
        <v>15</v>
      </c>
      <c r="N117" s="1" t="s">
        <v>15</v>
      </c>
      <c r="O117" s="1" t="s">
        <v>15</v>
      </c>
      <c r="P117" s="1" t="s">
        <v>193</v>
      </c>
      <c r="Q117" s="1" t="s">
        <v>17</v>
      </c>
      <c r="R117" s="1" t="s">
        <v>17</v>
      </c>
      <c r="S117" s="1" t="s">
        <v>17</v>
      </c>
      <c r="T117" s="1" t="s">
        <v>17</v>
      </c>
      <c r="U117" s="1" t="s">
        <v>17</v>
      </c>
      <c r="V117" s="1" t="s">
        <v>58</v>
      </c>
      <c r="W117" s="1" t="s">
        <v>18</v>
      </c>
      <c r="X117" s="1" t="s">
        <v>21</v>
      </c>
      <c r="Y117" s="1" t="s">
        <v>82</v>
      </c>
    </row>
    <row r="118" spans="1:25">
      <c r="A118" s="16" t="s">
        <v>70</v>
      </c>
      <c r="B118" s="6" t="s">
        <v>125</v>
      </c>
      <c r="C118" s="1" t="s">
        <v>75</v>
      </c>
      <c r="D118" s="1" t="s">
        <v>145</v>
      </c>
      <c r="E118" s="1">
        <v>0.15</v>
      </c>
      <c r="F118" s="1">
        <v>0.85</v>
      </c>
      <c r="G118" s="30">
        <f t="shared" si="7"/>
        <v>-0.16666666666666666</v>
      </c>
      <c r="H118" s="1">
        <v>0.5</v>
      </c>
      <c r="I118" s="1" t="b">
        <v>0</v>
      </c>
      <c r="J118" s="1">
        <v>115.4</v>
      </c>
      <c r="K118" s="1">
        <v>461.6</v>
      </c>
      <c r="L118" s="1">
        <v>100</v>
      </c>
      <c r="M118" s="1" t="s">
        <v>15</v>
      </c>
      <c r="N118" s="1" t="s">
        <v>15</v>
      </c>
      <c r="O118" s="1" t="s">
        <v>15</v>
      </c>
      <c r="P118" s="1" t="s">
        <v>194</v>
      </c>
      <c r="Q118" s="1" t="s">
        <v>17</v>
      </c>
      <c r="R118" s="1" t="s">
        <v>17</v>
      </c>
      <c r="S118" s="1" t="s">
        <v>17</v>
      </c>
      <c r="T118" s="1" t="s">
        <v>17</v>
      </c>
      <c r="U118" s="1" t="s">
        <v>17</v>
      </c>
      <c r="V118" s="1" t="s">
        <v>58</v>
      </c>
      <c r="W118" s="1" t="s">
        <v>18</v>
      </c>
      <c r="X118" s="1" t="s">
        <v>21</v>
      </c>
      <c r="Y118" s="1" t="s">
        <v>82</v>
      </c>
    </row>
  </sheetData>
  <phoneticPr fontId="1" type="noConversion"/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0ACD6B-1256-944B-A326-AA6CC009DF7C}">
  <dimension ref="A1:D92"/>
  <sheetViews>
    <sheetView showGridLines="0" topLeftCell="A59" workbookViewId="0">
      <selection activeCell="E71" sqref="E71"/>
    </sheetView>
  </sheetViews>
  <sheetFormatPr baseColWidth="10" defaultRowHeight="16"/>
  <cols>
    <col min="1" max="1" width="32.1640625" style="36" customWidth="1"/>
    <col min="2" max="2" width="42.33203125" style="36" customWidth="1"/>
    <col min="3" max="3" width="11.33203125" style="36" bestFit="1" customWidth="1"/>
    <col min="4" max="4" width="25.1640625" style="36" customWidth="1"/>
    <col min="5" max="16384" width="10.83203125" style="36"/>
  </cols>
  <sheetData>
    <row r="1" spans="1:4" ht="18" thickBot="1">
      <c r="A1" s="42" t="s">
        <v>335</v>
      </c>
      <c r="B1" s="42" t="s">
        <v>336</v>
      </c>
      <c r="C1" s="42" t="s">
        <v>337</v>
      </c>
      <c r="D1" s="42" t="s">
        <v>338</v>
      </c>
    </row>
    <row r="2" spans="1:4" ht="17" thickTop="1">
      <c r="A2" s="37" t="s">
        <v>339</v>
      </c>
    </row>
    <row r="3" spans="1:4" ht="18">
      <c r="A3" s="36" t="s">
        <v>340</v>
      </c>
      <c r="B3" s="36" t="s">
        <v>370</v>
      </c>
      <c r="C3" s="36" t="s">
        <v>361</v>
      </c>
      <c r="D3" s="36" t="s">
        <v>365</v>
      </c>
    </row>
    <row r="4" spans="1:4" ht="18">
      <c r="A4" s="36" t="s">
        <v>371</v>
      </c>
      <c r="B4" s="36" t="s">
        <v>373</v>
      </c>
      <c r="C4" s="36" t="s">
        <v>362</v>
      </c>
      <c r="D4" s="36" t="s">
        <v>364</v>
      </c>
    </row>
    <row r="5" spans="1:4" ht="18">
      <c r="A5" s="36" t="s">
        <v>341</v>
      </c>
      <c r="B5" s="36" t="s">
        <v>375</v>
      </c>
      <c r="C5" s="36" t="s">
        <v>17</v>
      </c>
      <c r="D5" s="36" t="s">
        <v>366</v>
      </c>
    </row>
    <row r="6" spans="1:4" ht="18">
      <c r="A6" s="36" t="s">
        <v>342</v>
      </c>
      <c r="B6" s="36" t="s">
        <v>376</v>
      </c>
      <c r="C6" s="36" t="s">
        <v>17</v>
      </c>
      <c r="D6" s="36" t="s">
        <v>363</v>
      </c>
    </row>
    <row r="7" spans="1:4" ht="18">
      <c r="A7" s="36" t="s">
        <v>343</v>
      </c>
      <c r="B7" s="36" t="s">
        <v>377</v>
      </c>
      <c r="C7" s="36" t="s">
        <v>17</v>
      </c>
      <c r="D7" s="36" t="s">
        <v>363</v>
      </c>
    </row>
    <row r="8" spans="1:4" ht="18">
      <c r="A8" s="36" t="s">
        <v>344</v>
      </c>
      <c r="B8" s="36" t="s">
        <v>378</v>
      </c>
      <c r="C8" s="36" t="s">
        <v>17</v>
      </c>
      <c r="D8" s="36" t="s">
        <v>366</v>
      </c>
    </row>
    <row r="9" spans="1:4" ht="18">
      <c r="A9" s="36" t="s">
        <v>345</v>
      </c>
      <c r="B9" s="36" t="s">
        <v>374</v>
      </c>
      <c r="C9" s="36" t="s">
        <v>17</v>
      </c>
      <c r="D9" s="36" t="s">
        <v>366</v>
      </c>
    </row>
    <row r="11" spans="1:4">
      <c r="A11" s="37" t="s">
        <v>346</v>
      </c>
    </row>
    <row r="12" spans="1:4" ht="18">
      <c r="A12" s="36" t="s">
        <v>347</v>
      </c>
      <c r="B12" s="36" t="s">
        <v>384</v>
      </c>
      <c r="C12" s="36" t="s">
        <v>367</v>
      </c>
      <c r="D12" s="36" t="s">
        <v>364</v>
      </c>
    </row>
    <row r="13" spans="1:4" ht="18">
      <c r="A13" s="36" t="s">
        <v>348</v>
      </c>
      <c r="B13" s="36" t="s">
        <v>383</v>
      </c>
      <c r="C13" s="36" t="s">
        <v>367</v>
      </c>
      <c r="D13" s="36" t="s">
        <v>364</v>
      </c>
    </row>
    <row r="14" spans="1:4">
      <c r="A14" s="36" t="s">
        <v>349</v>
      </c>
      <c r="B14" s="36" t="s">
        <v>372</v>
      </c>
      <c r="C14" s="36" t="s">
        <v>367</v>
      </c>
      <c r="D14" s="36" t="s">
        <v>365</v>
      </c>
    </row>
    <row r="15" spans="1:4" ht="18">
      <c r="A15" s="36" t="s">
        <v>350</v>
      </c>
      <c r="B15" s="36" t="s">
        <v>379</v>
      </c>
      <c r="C15" s="36" t="s">
        <v>367</v>
      </c>
      <c r="D15" s="36" t="s">
        <v>366</v>
      </c>
    </row>
    <row r="16" spans="1:4" ht="18">
      <c r="A16" s="36" t="s">
        <v>351</v>
      </c>
      <c r="B16" s="36" t="s">
        <v>380</v>
      </c>
      <c r="C16" s="36" t="s">
        <v>367</v>
      </c>
      <c r="D16" s="36" t="s">
        <v>365</v>
      </c>
    </row>
    <row r="17" spans="1:4" ht="18">
      <c r="A17" s="36" t="s">
        <v>352</v>
      </c>
      <c r="B17" s="36" t="s">
        <v>381</v>
      </c>
      <c r="C17" s="36" t="s">
        <v>367</v>
      </c>
    </row>
    <row r="18" spans="1:4" ht="18">
      <c r="A18" s="36" t="s">
        <v>353</v>
      </c>
      <c r="B18" s="36" t="s">
        <v>382</v>
      </c>
      <c r="C18" s="36" t="s">
        <v>367</v>
      </c>
    </row>
    <row r="19" spans="1:4">
      <c r="A19" s="36" t="s">
        <v>354</v>
      </c>
      <c r="B19" s="36" t="s">
        <v>368</v>
      </c>
      <c r="C19" s="36" t="s">
        <v>367</v>
      </c>
      <c r="D19" s="36" t="s">
        <v>369</v>
      </c>
    </row>
    <row r="21" spans="1:4">
      <c r="A21" s="37" t="s">
        <v>355</v>
      </c>
    </row>
    <row r="22" spans="1:4" ht="18">
      <c r="A22" s="36" t="s">
        <v>356</v>
      </c>
      <c r="B22" s="36" t="s">
        <v>387</v>
      </c>
      <c r="C22" s="36" t="s">
        <v>386</v>
      </c>
      <c r="D22" s="36" t="s">
        <v>365</v>
      </c>
    </row>
    <row r="23" spans="1:4" ht="18">
      <c r="A23" s="36" t="s">
        <v>357</v>
      </c>
      <c r="B23" s="36" t="s">
        <v>388</v>
      </c>
      <c r="C23" s="36" t="s">
        <v>386</v>
      </c>
      <c r="D23" s="36" t="s">
        <v>365</v>
      </c>
    </row>
    <row r="24" spans="1:4" ht="18">
      <c r="A24" s="36" t="s">
        <v>358</v>
      </c>
      <c r="B24" s="36" t="s">
        <v>389</v>
      </c>
      <c r="C24" s="36" t="s">
        <v>386</v>
      </c>
      <c r="D24" s="36" t="s">
        <v>365</v>
      </c>
    </row>
    <row r="25" spans="1:4" ht="18">
      <c r="A25" s="36" t="s">
        <v>359</v>
      </c>
      <c r="B25" s="36" t="s">
        <v>390</v>
      </c>
      <c r="C25" s="36" t="s">
        <v>386</v>
      </c>
      <c r="D25" s="36" t="s">
        <v>365</v>
      </c>
    </row>
    <row r="26" spans="1:4">
      <c r="A26" s="43" t="s">
        <v>360</v>
      </c>
      <c r="B26" s="43" t="s">
        <v>391</v>
      </c>
      <c r="C26" s="43" t="s">
        <v>386</v>
      </c>
      <c r="D26" s="43" t="s">
        <v>385</v>
      </c>
    </row>
    <row r="67" spans="1:4" ht="17" thickBot="1">
      <c r="A67" s="46" t="s">
        <v>450</v>
      </c>
      <c r="B67" s="46" t="s">
        <v>451</v>
      </c>
      <c r="C67" s="46" t="s">
        <v>452</v>
      </c>
      <c r="D67" s="46" t="s">
        <v>453</v>
      </c>
    </row>
    <row r="68" spans="1:4" ht="17" thickTop="1">
      <c r="A68" s="48" t="s">
        <v>474</v>
      </c>
      <c r="B68" s="47"/>
      <c r="C68" s="47"/>
      <c r="D68" s="47"/>
    </row>
    <row r="69" spans="1:4" ht="18">
      <c r="A69" s="36" t="s">
        <v>454</v>
      </c>
      <c r="B69" s="36" t="s">
        <v>370</v>
      </c>
      <c r="C69" s="36" t="s">
        <v>361</v>
      </c>
      <c r="D69" s="36" t="s">
        <v>365</v>
      </c>
    </row>
    <row r="70" spans="1:4" ht="18">
      <c r="A70" s="36" t="s">
        <v>455</v>
      </c>
      <c r="B70" s="36" t="s">
        <v>373</v>
      </c>
      <c r="C70" s="36" t="s">
        <v>362</v>
      </c>
      <c r="D70" s="36" t="s">
        <v>364</v>
      </c>
    </row>
    <row r="71" spans="1:4" ht="18">
      <c r="A71" s="44" t="s">
        <v>456</v>
      </c>
      <c r="B71" s="36" t="s">
        <v>375</v>
      </c>
      <c r="C71" s="36" t="s">
        <v>17</v>
      </c>
      <c r="D71" s="36" t="s">
        <v>366</v>
      </c>
    </row>
    <row r="72" spans="1:4" ht="18">
      <c r="A72" s="36" t="s">
        <v>457</v>
      </c>
      <c r="B72" s="36" t="s">
        <v>376</v>
      </c>
      <c r="C72" s="36" t="s">
        <v>17</v>
      </c>
      <c r="D72" s="36" t="s">
        <v>363</v>
      </c>
    </row>
    <row r="73" spans="1:4" ht="18">
      <c r="A73" s="45" t="s">
        <v>458</v>
      </c>
      <c r="B73" s="36" t="s">
        <v>377</v>
      </c>
      <c r="C73" s="36" t="s">
        <v>17</v>
      </c>
      <c r="D73" s="36" t="s">
        <v>363</v>
      </c>
    </row>
    <row r="74" spans="1:4" ht="18">
      <c r="A74" s="45" t="s">
        <v>459</v>
      </c>
      <c r="B74" s="36" t="s">
        <v>378</v>
      </c>
      <c r="C74" s="36" t="s">
        <v>17</v>
      </c>
      <c r="D74" s="36" t="s">
        <v>366</v>
      </c>
    </row>
    <row r="75" spans="1:4" ht="18">
      <c r="A75" s="45" t="s">
        <v>460</v>
      </c>
      <c r="B75" s="36" t="s">
        <v>374</v>
      </c>
      <c r="C75" s="36" t="s">
        <v>17</v>
      </c>
      <c r="D75" s="36" t="s">
        <v>366</v>
      </c>
    </row>
    <row r="77" spans="1:4">
      <c r="A77" s="48" t="s">
        <v>475</v>
      </c>
    </row>
    <row r="78" spans="1:4" ht="18">
      <c r="A78" s="45" t="s">
        <v>461</v>
      </c>
      <c r="B78" s="36" t="s">
        <v>384</v>
      </c>
      <c r="C78" s="36" t="s">
        <v>367</v>
      </c>
      <c r="D78" s="36" t="s">
        <v>364</v>
      </c>
    </row>
    <row r="79" spans="1:4" ht="18">
      <c r="A79" s="36" t="s">
        <v>462</v>
      </c>
      <c r="B79" s="36" t="s">
        <v>383</v>
      </c>
      <c r="C79" s="36" t="s">
        <v>367</v>
      </c>
      <c r="D79" s="36" t="s">
        <v>364</v>
      </c>
    </row>
    <row r="80" spans="1:4">
      <c r="A80" s="36" t="s">
        <v>463</v>
      </c>
      <c r="B80" s="36" t="s">
        <v>372</v>
      </c>
      <c r="C80" s="36" t="s">
        <v>367</v>
      </c>
      <c r="D80" s="36" t="s">
        <v>365</v>
      </c>
    </row>
    <row r="81" spans="1:4" ht="18">
      <c r="A81" s="36" t="s">
        <v>464</v>
      </c>
      <c r="B81" s="36" t="s">
        <v>379</v>
      </c>
      <c r="C81" s="36" t="s">
        <v>367</v>
      </c>
      <c r="D81" s="36" t="s">
        <v>366</v>
      </c>
    </row>
    <row r="82" spans="1:4" ht="18">
      <c r="A82" s="36" t="s">
        <v>465</v>
      </c>
      <c r="B82" s="36" t="s">
        <v>380</v>
      </c>
      <c r="C82" s="36" t="s">
        <v>367</v>
      </c>
      <c r="D82" s="36" t="s">
        <v>365</v>
      </c>
    </row>
    <row r="83" spans="1:4" ht="18">
      <c r="A83" s="36" t="s">
        <v>466</v>
      </c>
      <c r="B83" s="36" t="s">
        <v>381</v>
      </c>
      <c r="C83" s="36" t="s">
        <v>367</v>
      </c>
    </row>
    <row r="84" spans="1:4" ht="18">
      <c r="A84" s="36" t="s">
        <v>467</v>
      </c>
      <c r="B84" s="36" t="s">
        <v>382</v>
      </c>
      <c r="C84" s="36" t="s">
        <v>367</v>
      </c>
    </row>
    <row r="85" spans="1:4">
      <c r="A85" s="36" t="s">
        <v>468</v>
      </c>
      <c r="B85" s="36" t="s">
        <v>368</v>
      </c>
      <c r="C85" s="36" t="s">
        <v>367</v>
      </c>
      <c r="D85" s="36" t="s">
        <v>369</v>
      </c>
    </row>
    <row r="87" spans="1:4">
      <c r="A87" s="48" t="s">
        <v>476</v>
      </c>
    </row>
    <row r="88" spans="1:4" ht="18">
      <c r="A88" s="36" t="s">
        <v>469</v>
      </c>
      <c r="B88" s="36" t="s">
        <v>387</v>
      </c>
      <c r="C88" s="36" t="s">
        <v>386</v>
      </c>
      <c r="D88" s="36" t="s">
        <v>365</v>
      </c>
    </row>
    <row r="89" spans="1:4" ht="18">
      <c r="A89" s="45" t="s">
        <v>470</v>
      </c>
      <c r="B89" s="36" t="s">
        <v>388</v>
      </c>
      <c r="C89" s="36" t="s">
        <v>386</v>
      </c>
      <c r="D89" s="36" t="s">
        <v>365</v>
      </c>
    </row>
    <row r="90" spans="1:4" ht="18">
      <c r="A90" s="45" t="s">
        <v>471</v>
      </c>
      <c r="B90" s="36" t="s">
        <v>389</v>
      </c>
      <c r="C90" s="36" t="s">
        <v>386</v>
      </c>
      <c r="D90" s="36" t="s">
        <v>365</v>
      </c>
    </row>
    <row r="91" spans="1:4" ht="18">
      <c r="A91" s="36" t="s">
        <v>472</v>
      </c>
      <c r="B91" s="36" t="s">
        <v>390</v>
      </c>
      <c r="C91" s="36" t="s">
        <v>386</v>
      </c>
      <c r="D91" s="36" t="s">
        <v>365</v>
      </c>
    </row>
    <row r="92" spans="1:4">
      <c r="A92" s="43" t="s">
        <v>473</v>
      </c>
      <c r="B92" s="43" t="s">
        <v>391</v>
      </c>
      <c r="C92" s="43" t="s">
        <v>386</v>
      </c>
      <c r="D92" s="43" t="s">
        <v>385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AF2FAC-E5B6-E845-958B-29F824DC34D4}">
  <dimension ref="A1:E93"/>
  <sheetViews>
    <sheetView showGridLines="0" topLeftCell="A58" zoomScale="101" workbookViewId="0">
      <selection activeCell="A58" sqref="A58"/>
    </sheetView>
  </sheetViews>
  <sheetFormatPr baseColWidth="10" defaultRowHeight="16"/>
  <cols>
    <col min="1" max="1" width="27.33203125" style="6" customWidth="1"/>
    <col min="2" max="2" width="8.5" style="6" customWidth="1"/>
    <col min="3" max="3" width="11.83203125" style="6" customWidth="1"/>
    <col min="4" max="4" width="8.83203125" style="6" customWidth="1"/>
    <col min="5" max="5" width="23.6640625" style="6" bestFit="1" customWidth="1"/>
    <col min="6" max="16384" width="10.83203125" style="6"/>
  </cols>
  <sheetData>
    <row r="1" spans="1:5" s="38" customFormat="1" ht="18" thickBot="1">
      <c r="A1" s="49" t="s">
        <v>392</v>
      </c>
      <c r="B1" s="49" t="s">
        <v>393</v>
      </c>
      <c r="C1" s="49" t="s">
        <v>394</v>
      </c>
      <c r="D1" s="49" t="s">
        <v>337</v>
      </c>
      <c r="E1" s="49" t="s">
        <v>338</v>
      </c>
    </row>
    <row r="2" spans="1:5" s="38" customFormat="1" ht="17" thickTop="1">
      <c r="A2" s="39" t="s">
        <v>395</v>
      </c>
    </row>
    <row r="3" spans="1:5" s="38" customFormat="1">
      <c r="A3" s="38" t="s">
        <v>396</v>
      </c>
      <c r="B3" s="38" t="s">
        <v>417</v>
      </c>
      <c r="C3" s="40">
        <v>1</v>
      </c>
      <c r="D3" s="38" t="s">
        <v>17</v>
      </c>
      <c r="E3" s="36" t="s">
        <v>365</v>
      </c>
    </row>
    <row r="4" spans="1:5" s="38" customFormat="1">
      <c r="A4" s="38" t="s">
        <v>397</v>
      </c>
      <c r="B4" s="38" t="s">
        <v>418</v>
      </c>
      <c r="C4" s="40">
        <v>1</v>
      </c>
      <c r="D4" s="38" t="s">
        <v>17</v>
      </c>
      <c r="E4" s="36" t="s">
        <v>365</v>
      </c>
    </row>
    <row r="5" spans="1:5" s="38" customFormat="1" ht="18">
      <c r="A5" s="38" t="s">
        <v>398</v>
      </c>
      <c r="B5" s="38" t="s">
        <v>420</v>
      </c>
      <c r="C5" s="40">
        <v>1</v>
      </c>
      <c r="D5" s="38" t="s">
        <v>17</v>
      </c>
      <c r="E5" s="36" t="s">
        <v>363</v>
      </c>
    </row>
    <row r="6" spans="1:5" s="38" customFormat="1" ht="18">
      <c r="A6" s="38" t="s">
        <v>399</v>
      </c>
      <c r="B6" s="38" t="s">
        <v>419</v>
      </c>
      <c r="C6" s="40">
        <v>1</v>
      </c>
      <c r="D6" s="38" t="s">
        <v>17</v>
      </c>
      <c r="E6" s="36" t="s">
        <v>363</v>
      </c>
    </row>
    <row r="7" spans="1:5" s="38" customFormat="1"/>
    <row r="8" spans="1:5" s="38" customFormat="1">
      <c r="A8" s="39" t="s">
        <v>400</v>
      </c>
    </row>
    <row r="9" spans="1:5" s="38" customFormat="1" ht="18">
      <c r="A9" s="38" t="s">
        <v>401</v>
      </c>
      <c r="B9" s="38" t="s">
        <v>421</v>
      </c>
      <c r="C9" s="38">
        <v>4.3280000000000003</v>
      </c>
      <c r="D9" s="38" t="s">
        <v>423</v>
      </c>
      <c r="E9" s="36" t="s">
        <v>364</v>
      </c>
    </row>
    <row r="10" spans="1:5" s="38" customFormat="1" ht="18">
      <c r="A10" s="38" t="s">
        <v>402</v>
      </c>
      <c r="B10" s="38" t="s">
        <v>422</v>
      </c>
      <c r="C10" s="38">
        <v>7.4</v>
      </c>
      <c r="D10" s="38" t="s">
        <v>423</v>
      </c>
      <c r="E10" s="36" t="s">
        <v>364</v>
      </c>
    </row>
    <row r="11" spans="1:5" s="38" customFormat="1"/>
    <row r="12" spans="1:5" s="38" customFormat="1">
      <c r="A12" s="39" t="s">
        <v>403</v>
      </c>
    </row>
    <row r="13" spans="1:5" s="38" customFormat="1" ht="18">
      <c r="A13" s="38" t="s">
        <v>404</v>
      </c>
      <c r="B13" s="38" t="s">
        <v>424</v>
      </c>
      <c r="C13" s="41">
        <v>3.193E+18</v>
      </c>
      <c r="D13" s="38" t="s">
        <v>425</v>
      </c>
      <c r="E13" s="36" t="s">
        <v>365</v>
      </c>
    </row>
    <row r="14" spans="1:5" s="38" customFormat="1" ht="18">
      <c r="A14" s="38" t="s">
        <v>405</v>
      </c>
      <c r="B14" s="38" t="s">
        <v>426</v>
      </c>
      <c r="C14" s="41">
        <v>6600000000000</v>
      </c>
      <c r="D14" s="38" t="s">
        <v>438</v>
      </c>
      <c r="E14" s="36" t="s">
        <v>427</v>
      </c>
    </row>
    <row r="15" spans="1:5" s="38" customFormat="1" ht="18">
      <c r="A15" s="38" t="s">
        <v>352</v>
      </c>
      <c r="B15" s="38" t="s">
        <v>428</v>
      </c>
      <c r="C15" s="41">
        <v>1250000000000</v>
      </c>
      <c r="D15" s="38" t="s">
        <v>438</v>
      </c>
      <c r="E15" s="36" t="s">
        <v>365</v>
      </c>
    </row>
    <row r="16" spans="1:5" s="38" customFormat="1" ht="18">
      <c r="A16" s="38" t="s">
        <v>350</v>
      </c>
      <c r="B16" s="38" t="s">
        <v>430</v>
      </c>
      <c r="C16" s="41">
        <v>13350000000000</v>
      </c>
      <c r="D16" s="38" t="s">
        <v>438</v>
      </c>
      <c r="E16" s="36" t="s">
        <v>439</v>
      </c>
    </row>
    <row r="17" spans="1:5" s="38" customFormat="1" ht="18">
      <c r="A17" s="38" t="s">
        <v>406</v>
      </c>
      <c r="B17" s="38" t="s">
        <v>429</v>
      </c>
      <c r="C17" s="38">
        <v>0.15</v>
      </c>
      <c r="E17" s="36" t="s">
        <v>365</v>
      </c>
    </row>
    <row r="18" spans="1:5" s="38" customFormat="1" ht="18">
      <c r="A18" s="38" t="s">
        <v>407</v>
      </c>
      <c r="B18" s="38" t="s">
        <v>431</v>
      </c>
      <c r="C18" s="41">
        <v>7750000000000</v>
      </c>
      <c r="D18" s="38" t="s">
        <v>438</v>
      </c>
      <c r="E18" s="36" t="s">
        <v>440</v>
      </c>
    </row>
    <row r="19" spans="1:5" s="38" customFormat="1" ht="18">
      <c r="A19" s="38" t="s">
        <v>408</v>
      </c>
      <c r="B19" s="38" t="s">
        <v>432</v>
      </c>
      <c r="C19" s="38">
        <v>0.09</v>
      </c>
      <c r="E19" s="38" t="s">
        <v>434</v>
      </c>
    </row>
    <row r="20" spans="1:5" s="38" customFormat="1" ht="18">
      <c r="A20" s="38" t="s">
        <v>409</v>
      </c>
      <c r="B20" s="38" t="s">
        <v>433</v>
      </c>
      <c r="C20" s="38">
        <v>0.09</v>
      </c>
      <c r="E20" s="38" t="s">
        <v>435</v>
      </c>
    </row>
    <row r="21" spans="1:5" s="38" customFormat="1" ht="18">
      <c r="A21" s="38" t="s">
        <v>347</v>
      </c>
      <c r="B21" s="38" t="s">
        <v>436</v>
      </c>
      <c r="C21" s="41">
        <v>4322500000000</v>
      </c>
      <c r="D21" s="38" t="s">
        <v>438</v>
      </c>
      <c r="E21" s="36" t="s">
        <v>363</v>
      </c>
    </row>
    <row r="22" spans="1:5" s="38" customFormat="1" ht="18">
      <c r="A22" s="38" t="s">
        <v>348</v>
      </c>
      <c r="B22" s="38" t="s">
        <v>437</v>
      </c>
      <c r="C22" s="41">
        <v>2327400000000</v>
      </c>
      <c r="D22" s="38" t="s">
        <v>438</v>
      </c>
      <c r="E22" s="36" t="s">
        <v>363</v>
      </c>
    </row>
    <row r="23" spans="1:5" s="38" customFormat="1"/>
    <row r="24" spans="1:5" s="38" customFormat="1">
      <c r="A24" s="39" t="s">
        <v>410</v>
      </c>
    </row>
    <row r="25" spans="1:5" s="38" customFormat="1" ht="18">
      <c r="A25" s="38" t="s">
        <v>411</v>
      </c>
      <c r="B25" s="38" t="s">
        <v>441</v>
      </c>
      <c r="C25" s="41">
        <v>3.7E+19</v>
      </c>
      <c r="D25" s="38" t="s">
        <v>425</v>
      </c>
      <c r="E25" s="36" t="s">
        <v>365</v>
      </c>
    </row>
    <row r="26" spans="1:5" s="38" customFormat="1"/>
    <row r="27" spans="1:5" s="38" customFormat="1">
      <c r="A27" s="39" t="s">
        <v>412</v>
      </c>
    </row>
    <row r="28" spans="1:5" s="38" customFormat="1" ht="18">
      <c r="A28" s="38" t="s">
        <v>413</v>
      </c>
      <c r="B28" s="38" t="s">
        <v>442</v>
      </c>
      <c r="C28" s="41">
        <v>3100000000000000</v>
      </c>
      <c r="D28" s="38" t="s">
        <v>425</v>
      </c>
      <c r="E28" s="36" t="s">
        <v>365</v>
      </c>
    </row>
    <row r="29" spans="1:5" s="38" customFormat="1" ht="18">
      <c r="A29" s="38" t="s">
        <v>359</v>
      </c>
      <c r="B29" s="38" t="s">
        <v>443</v>
      </c>
      <c r="C29" s="41">
        <v>39000000000</v>
      </c>
      <c r="D29" s="38" t="s">
        <v>438</v>
      </c>
      <c r="E29" s="36" t="s">
        <v>365</v>
      </c>
    </row>
    <row r="30" spans="1:5" s="38" customFormat="1" ht="18">
      <c r="A30" s="38" t="s">
        <v>414</v>
      </c>
      <c r="B30" s="36" t="s">
        <v>444</v>
      </c>
      <c r="C30" s="40">
        <v>1</v>
      </c>
      <c r="E30" s="36" t="s">
        <v>447</v>
      </c>
    </row>
    <row r="31" spans="1:5" s="38" customFormat="1" ht="18">
      <c r="A31" s="38" t="s">
        <v>415</v>
      </c>
      <c r="B31" s="36" t="s">
        <v>445</v>
      </c>
      <c r="C31" s="40">
        <v>0</v>
      </c>
      <c r="E31" s="36" t="s">
        <v>448</v>
      </c>
    </row>
    <row r="32" spans="1:5" s="38" customFormat="1" ht="18">
      <c r="A32" s="50" t="s">
        <v>416</v>
      </c>
      <c r="B32" s="43" t="s">
        <v>446</v>
      </c>
      <c r="C32" s="51">
        <v>0</v>
      </c>
      <c r="D32" s="50"/>
      <c r="E32" s="43" t="s">
        <v>449</v>
      </c>
    </row>
    <row r="33" s="38" customFormat="1"/>
    <row r="34" s="38" customFormat="1"/>
    <row r="35" s="38" customFormat="1"/>
    <row r="62" spans="1:5" ht="17" thickBot="1">
      <c r="A62" s="46" t="s">
        <v>477</v>
      </c>
      <c r="B62" s="46" t="s">
        <v>478</v>
      </c>
      <c r="C62" s="46" t="s">
        <v>479</v>
      </c>
      <c r="D62" s="46" t="s">
        <v>452</v>
      </c>
      <c r="E62" s="46" t="s">
        <v>453</v>
      </c>
    </row>
    <row r="63" spans="1:5" ht="17" thickTop="1">
      <c r="A63" s="52" t="s">
        <v>480</v>
      </c>
      <c r="B63" s="38"/>
      <c r="C63" s="38"/>
      <c r="D63" s="38"/>
      <c r="E63" s="38"/>
    </row>
    <row r="64" spans="1:5">
      <c r="A64" s="38" t="s">
        <v>485</v>
      </c>
      <c r="B64" s="38" t="s">
        <v>417</v>
      </c>
      <c r="C64" s="40">
        <v>1</v>
      </c>
      <c r="D64" s="38" t="s">
        <v>17</v>
      </c>
      <c r="E64" s="36" t="s">
        <v>365</v>
      </c>
    </row>
    <row r="65" spans="1:5">
      <c r="A65" s="38" t="s">
        <v>486</v>
      </c>
      <c r="B65" s="38" t="s">
        <v>418</v>
      </c>
      <c r="C65" s="40">
        <v>1</v>
      </c>
      <c r="D65" s="38" t="s">
        <v>17</v>
      </c>
      <c r="E65" s="36" t="s">
        <v>365</v>
      </c>
    </row>
    <row r="66" spans="1:5" ht="18">
      <c r="A66" s="38" t="s">
        <v>487</v>
      </c>
      <c r="B66" s="38" t="s">
        <v>420</v>
      </c>
      <c r="C66" s="40">
        <v>1</v>
      </c>
      <c r="D66" s="38" t="s">
        <v>17</v>
      </c>
      <c r="E66" s="36" t="s">
        <v>363</v>
      </c>
    </row>
    <row r="67" spans="1:5" ht="18">
      <c r="A67" s="54" t="s">
        <v>488</v>
      </c>
      <c r="B67" s="38" t="s">
        <v>419</v>
      </c>
      <c r="C67" s="40">
        <v>1</v>
      </c>
      <c r="D67" s="38" t="s">
        <v>17</v>
      </c>
      <c r="E67" s="36" t="s">
        <v>363</v>
      </c>
    </row>
    <row r="68" spans="1:5">
      <c r="A68" s="38"/>
      <c r="B68" s="38"/>
      <c r="C68" s="38"/>
      <c r="D68" s="38"/>
      <c r="E68" s="38"/>
    </row>
    <row r="69" spans="1:5">
      <c r="A69" s="53" t="s">
        <v>481</v>
      </c>
      <c r="B69" s="38"/>
      <c r="C69" s="38"/>
      <c r="D69" s="38"/>
      <c r="E69" s="38"/>
    </row>
    <row r="70" spans="1:5" ht="18">
      <c r="A70" s="38" t="s">
        <v>489</v>
      </c>
      <c r="B70" s="38" t="s">
        <v>421</v>
      </c>
      <c r="C70" s="38">
        <v>4.3280000000000003</v>
      </c>
      <c r="D70" s="38" t="s">
        <v>423</v>
      </c>
      <c r="E70" s="36" t="s">
        <v>364</v>
      </c>
    </row>
    <row r="71" spans="1:5" ht="18">
      <c r="A71" s="38" t="s">
        <v>490</v>
      </c>
      <c r="B71" s="38" t="s">
        <v>422</v>
      </c>
      <c r="C71" s="38">
        <v>7.4</v>
      </c>
      <c r="D71" s="38" t="s">
        <v>423</v>
      </c>
      <c r="E71" s="36" t="s">
        <v>364</v>
      </c>
    </row>
    <row r="72" spans="1:5">
      <c r="A72" s="38"/>
      <c r="B72" s="38"/>
      <c r="C72" s="38"/>
      <c r="D72" s="38"/>
      <c r="E72" s="38"/>
    </row>
    <row r="73" spans="1:5">
      <c r="A73" s="53" t="s">
        <v>482</v>
      </c>
      <c r="B73" s="38"/>
      <c r="C73" s="38"/>
      <c r="D73" s="38"/>
      <c r="E73" s="38"/>
    </row>
    <row r="74" spans="1:5" ht="18">
      <c r="A74" s="38" t="s">
        <v>491</v>
      </c>
      <c r="B74" s="38" t="s">
        <v>424</v>
      </c>
      <c r="C74" s="41">
        <v>3.193E+18</v>
      </c>
      <c r="D74" s="38" t="s">
        <v>425</v>
      </c>
      <c r="E74" s="36" t="s">
        <v>365</v>
      </c>
    </row>
    <row r="75" spans="1:5" ht="18">
      <c r="A75" s="38" t="s">
        <v>492</v>
      </c>
      <c r="B75" s="38" t="s">
        <v>426</v>
      </c>
      <c r="C75" s="41">
        <v>6600000000000</v>
      </c>
      <c r="D75" s="38" t="s">
        <v>438</v>
      </c>
      <c r="E75" s="36" t="s">
        <v>427</v>
      </c>
    </row>
    <row r="76" spans="1:5" ht="18">
      <c r="A76" s="38" t="s">
        <v>466</v>
      </c>
      <c r="B76" s="38" t="s">
        <v>428</v>
      </c>
      <c r="C76" s="41">
        <v>1250000000000</v>
      </c>
      <c r="D76" s="38" t="s">
        <v>438</v>
      </c>
      <c r="E76" s="36" t="s">
        <v>365</v>
      </c>
    </row>
    <row r="77" spans="1:5" ht="18">
      <c r="A77" s="38" t="s">
        <v>464</v>
      </c>
      <c r="B77" s="38" t="s">
        <v>430</v>
      </c>
      <c r="C77" s="41">
        <v>13350000000000</v>
      </c>
      <c r="D77" s="38" t="s">
        <v>438</v>
      </c>
      <c r="E77" s="36" t="s">
        <v>439</v>
      </c>
    </row>
    <row r="78" spans="1:5" ht="18">
      <c r="A78" s="38" t="s">
        <v>493</v>
      </c>
      <c r="B78" s="38" t="s">
        <v>429</v>
      </c>
      <c r="C78" s="38">
        <v>0.15</v>
      </c>
      <c r="D78" s="38"/>
      <c r="E78" s="36" t="s">
        <v>365</v>
      </c>
    </row>
    <row r="79" spans="1:5" ht="18">
      <c r="A79" s="38" t="s">
        <v>494</v>
      </c>
      <c r="B79" s="38" t="s">
        <v>431</v>
      </c>
      <c r="C79" s="41">
        <v>7750000000000</v>
      </c>
      <c r="D79" s="38" t="s">
        <v>438</v>
      </c>
      <c r="E79" s="36" t="s">
        <v>440</v>
      </c>
    </row>
    <row r="80" spans="1:5" ht="18">
      <c r="A80" s="38" t="s">
        <v>495</v>
      </c>
      <c r="B80" s="38" t="s">
        <v>432</v>
      </c>
      <c r="C80" s="38">
        <v>0.09</v>
      </c>
      <c r="D80" s="38"/>
      <c r="E80" s="38" t="s">
        <v>434</v>
      </c>
    </row>
    <row r="81" spans="1:5" ht="18">
      <c r="A81" s="54" t="s">
        <v>496</v>
      </c>
      <c r="B81" s="38" t="s">
        <v>433</v>
      </c>
      <c r="C81" s="38">
        <v>0.09</v>
      </c>
      <c r="D81" s="38"/>
      <c r="E81" s="38" t="s">
        <v>435</v>
      </c>
    </row>
    <row r="82" spans="1:5" ht="18">
      <c r="A82" s="54" t="s">
        <v>497</v>
      </c>
      <c r="B82" s="38" t="s">
        <v>436</v>
      </c>
      <c r="C82" s="41">
        <v>4322500000000</v>
      </c>
      <c r="D82" s="38" t="s">
        <v>438</v>
      </c>
      <c r="E82" s="36" t="s">
        <v>363</v>
      </c>
    </row>
    <row r="83" spans="1:5" ht="18">
      <c r="A83" s="54" t="s">
        <v>462</v>
      </c>
      <c r="B83" s="38" t="s">
        <v>437</v>
      </c>
      <c r="C83" s="41">
        <v>2327400000000</v>
      </c>
      <c r="D83" s="38" t="s">
        <v>438</v>
      </c>
      <c r="E83" s="36" t="s">
        <v>363</v>
      </c>
    </row>
    <row r="84" spans="1:5">
      <c r="A84" s="38"/>
      <c r="B84" s="38"/>
      <c r="C84" s="38"/>
      <c r="D84" s="38"/>
      <c r="E84" s="38"/>
    </row>
    <row r="85" spans="1:5">
      <c r="A85" s="53" t="s">
        <v>483</v>
      </c>
      <c r="B85" s="38"/>
      <c r="C85" s="38"/>
      <c r="D85" s="38"/>
      <c r="E85" s="38"/>
    </row>
    <row r="86" spans="1:5" ht="18">
      <c r="A86" s="55" t="s">
        <v>498</v>
      </c>
      <c r="B86" s="38" t="s">
        <v>441</v>
      </c>
      <c r="C86" s="41">
        <v>3.7E+19</v>
      </c>
      <c r="D86" s="38" t="s">
        <v>425</v>
      </c>
      <c r="E86" s="36" t="s">
        <v>365</v>
      </c>
    </row>
    <row r="87" spans="1:5">
      <c r="A87" s="38"/>
      <c r="B87" s="38"/>
      <c r="C87" s="38"/>
      <c r="D87" s="38"/>
      <c r="E87" s="38"/>
    </row>
    <row r="88" spans="1:5">
      <c r="A88" s="53" t="s">
        <v>484</v>
      </c>
      <c r="B88" s="38"/>
      <c r="C88" s="38"/>
      <c r="D88" s="38"/>
      <c r="E88" s="38"/>
    </row>
    <row r="89" spans="1:5" ht="18">
      <c r="A89" s="38" t="s">
        <v>499</v>
      </c>
      <c r="B89" s="38" t="s">
        <v>442</v>
      </c>
      <c r="C89" s="41">
        <v>3100000000000000</v>
      </c>
      <c r="D89" s="38" t="s">
        <v>425</v>
      </c>
      <c r="E89" s="36" t="s">
        <v>365</v>
      </c>
    </row>
    <row r="90" spans="1:5" ht="18">
      <c r="A90" s="38" t="s">
        <v>472</v>
      </c>
      <c r="B90" s="38" t="s">
        <v>443</v>
      </c>
      <c r="C90" s="41">
        <v>39000000000</v>
      </c>
      <c r="D90" s="38" t="s">
        <v>438</v>
      </c>
      <c r="E90" s="36" t="s">
        <v>365</v>
      </c>
    </row>
    <row r="91" spans="1:5" ht="18">
      <c r="A91" s="38" t="s">
        <v>500</v>
      </c>
      <c r="B91" s="36" t="s">
        <v>444</v>
      </c>
      <c r="C91" s="40">
        <v>1</v>
      </c>
      <c r="D91" s="38"/>
      <c r="E91" s="36" t="s">
        <v>447</v>
      </c>
    </row>
    <row r="92" spans="1:5" ht="18">
      <c r="A92" s="54" t="s">
        <v>501</v>
      </c>
      <c r="B92" s="36" t="s">
        <v>445</v>
      </c>
      <c r="C92" s="40">
        <v>0</v>
      </c>
      <c r="D92" s="38"/>
      <c r="E92" s="36" t="s">
        <v>448</v>
      </c>
    </row>
    <row r="93" spans="1:5" ht="18">
      <c r="A93" s="56" t="s">
        <v>502</v>
      </c>
      <c r="B93" s="43" t="s">
        <v>446</v>
      </c>
      <c r="C93" s="51">
        <v>0</v>
      </c>
      <c r="D93" s="50"/>
      <c r="E93" s="43" t="s">
        <v>449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C753B4-4BD0-5341-AAD9-1ADB22DF7067}">
  <dimension ref="A1:X27"/>
  <sheetViews>
    <sheetView workbookViewId="0">
      <selection activeCell="K2" sqref="K2"/>
    </sheetView>
  </sheetViews>
  <sheetFormatPr baseColWidth="10" defaultColWidth="11" defaultRowHeight="16"/>
  <cols>
    <col min="1" max="1" width="9" bestFit="1" customWidth="1"/>
    <col min="2" max="2" width="79.6640625" bestFit="1" customWidth="1"/>
    <col min="3" max="3" width="25.1640625" bestFit="1" customWidth="1"/>
    <col min="4" max="4" width="45.83203125" bestFit="1" customWidth="1"/>
    <col min="8" max="8" width="16.33203125" bestFit="1" customWidth="1"/>
    <col min="9" max="9" width="9.83203125" bestFit="1" customWidth="1"/>
    <col min="10" max="11" width="13.33203125" bestFit="1" customWidth="1"/>
    <col min="12" max="12" width="10" bestFit="1" customWidth="1"/>
    <col min="13" max="14" width="11.83203125" bestFit="1" customWidth="1"/>
    <col min="15" max="15" width="16.1640625" style="26" bestFit="1" customWidth="1"/>
    <col min="16" max="16" width="11.1640625" style="26" bestFit="1" customWidth="1"/>
    <col min="17" max="17" width="10.33203125" bestFit="1" customWidth="1"/>
    <col min="18" max="18" width="11.5" bestFit="1" customWidth="1"/>
    <col min="19" max="19" width="9.6640625" bestFit="1" customWidth="1"/>
    <col min="20" max="20" width="11.5" bestFit="1" customWidth="1"/>
    <col min="21" max="21" width="11.33203125" bestFit="1" customWidth="1"/>
    <col min="22" max="22" width="29.83203125" bestFit="1" customWidth="1"/>
    <col min="23" max="23" width="30" bestFit="1" customWidth="1"/>
    <col min="24" max="24" width="12.33203125" bestFit="1" customWidth="1"/>
  </cols>
  <sheetData>
    <row r="1" spans="1:24" s="23" customFormat="1" ht="15.75" customHeight="1">
      <c r="A1" s="3" t="s">
        <v>141</v>
      </c>
      <c r="B1" s="21" t="s">
        <v>74</v>
      </c>
      <c r="C1" s="3" t="s">
        <v>72</v>
      </c>
      <c r="D1" s="3" t="s">
        <v>73</v>
      </c>
      <c r="E1" s="3" t="s">
        <v>143</v>
      </c>
      <c r="F1" s="3" t="s">
        <v>144</v>
      </c>
      <c r="G1" s="3" t="s">
        <v>261</v>
      </c>
      <c r="H1" s="3" t="s">
        <v>0</v>
      </c>
      <c r="I1" s="3" t="s">
        <v>1</v>
      </c>
      <c r="J1" s="3" t="s">
        <v>263</v>
      </c>
      <c r="K1" s="3" t="s">
        <v>264</v>
      </c>
      <c r="L1" s="3" t="s">
        <v>168</v>
      </c>
      <c r="M1" s="3" t="s">
        <v>169</v>
      </c>
      <c r="N1" s="3" t="s">
        <v>170</v>
      </c>
      <c r="O1" s="24" t="s">
        <v>208</v>
      </c>
      <c r="P1" s="24" t="s">
        <v>3</v>
      </c>
      <c r="Q1" s="3" t="s">
        <v>4</v>
      </c>
      <c r="R1" s="3"/>
      <c r="S1" s="3" t="s">
        <v>7</v>
      </c>
      <c r="T1" s="3"/>
      <c r="U1" s="22" t="s">
        <v>57</v>
      </c>
      <c r="V1" s="3" t="s">
        <v>9</v>
      </c>
      <c r="W1" s="3" t="s">
        <v>10</v>
      </c>
      <c r="X1" s="3" t="s">
        <v>8</v>
      </c>
    </row>
    <row r="2" spans="1:24">
      <c r="A2" s="2"/>
      <c r="B2" s="10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 t="s">
        <v>2</v>
      </c>
      <c r="P2" s="2"/>
      <c r="Q2" s="2" t="s">
        <v>5</v>
      </c>
      <c r="R2" s="2" t="s">
        <v>6</v>
      </c>
      <c r="S2" s="2" t="s">
        <v>5</v>
      </c>
      <c r="T2" s="2" t="s">
        <v>6</v>
      </c>
      <c r="U2" s="8"/>
      <c r="V2" s="2" t="s">
        <v>19</v>
      </c>
      <c r="W2" s="2" t="s">
        <v>20</v>
      </c>
      <c r="X2" s="2"/>
    </row>
    <row r="3" spans="1:24">
      <c r="A3" s="12" t="s">
        <v>28</v>
      </c>
      <c r="B3" s="6" t="s">
        <v>100</v>
      </c>
      <c r="C3" s="1" t="s">
        <v>89</v>
      </c>
      <c r="D3" s="1" t="s">
        <v>164</v>
      </c>
      <c r="E3" s="1">
        <v>0.23</v>
      </c>
      <c r="F3" s="1">
        <v>0.25</v>
      </c>
      <c r="G3" s="1">
        <f>(E3*(K3/J3)-F3)/(0.5*(E3+F3)*(K3/J3-1))</f>
        <v>0.93055555555555569</v>
      </c>
      <c r="H3" s="1">
        <v>1.1000000000000001</v>
      </c>
      <c r="I3" s="1" t="b">
        <v>0</v>
      </c>
      <c r="J3" s="1">
        <v>115.4</v>
      </c>
      <c r="K3" s="1">
        <v>461.6</v>
      </c>
      <c r="L3" s="1">
        <v>1</v>
      </c>
      <c r="M3" s="1">
        <v>0</v>
      </c>
      <c r="N3" s="1">
        <v>0</v>
      </c>
      <c r="O3" s="27" t="s">
        <v>35</v>
      </c>
      <c r="P3" s="25">
        <v>13000000</v>
      </c>
      <c r="Q3" s="1" t="s">
        <v>17</v>
      </c>
      <c r="R3" s="1" t="s">
        <v>17</v>
      </c>
      <c r="S3" s="1" t="s">
        <v>17</v>
      </c>
      <c r="T3" s="1" t="s">
        <v>17</v>
      </c>
      <c r="U3" s="1" t="s">
        <v>58</v>
      </c>
      <c r="V3" s="1" t="s">
        <v>18</v>
      </c>
      <c r="W3" s="1" t="s">
        <v>21</v>
      </c>
      <c r="X3" s="1" t="s">
        <v>26</v>
      </c>
    </row>
    <row r="4" spans="1:24">
      <c r="A4" s="12" t="s">
        <v>29</v>
      </c>
      <c r="B4" s="6" t="s">
        <v>167</v>
      </c>
      <c r="C4" s="1" t="s">
        <v>89</v>
      </c>
      <c r="D4" s="1" t="s">
        <v>164</v>
      </c>
      <c r="E4" s="1">
        <v>0.23</v>
      </c>
      <c r="F4" s="1">
        <v>0.25</v>
      </c>
      <c r="G4" s="1">
        <f t="shared" ref="G4:G26" si="0">(E4*(K4/J4)-F4)/(0.5*(E4+F4)*(K4/J4-1))</f>
        <v>0.93055555555555569</v>
      </c>
      <c r="H4" s="1">
        <v>0.7</v>
      </c>
      <c r="I4" s="1" t="b">
        <v>0</v>
      </c>
      <c r="J4" s="1">
        <v>115.4</v>
      </c>
      <c r="K4" s="1">
        <v>461.6</v>
      </c>
      <c r="L4" s="1">
        <v>1</v>
      </c>
      <c r="M4" s="1">
        <v>0</v>
      </c>
      <c r="N4" s="1">
        <v>0</v>
      </c>
      <c r="O4" s="27" t="s">
        <v>36</v>
      </c>
      <c r="P4" s="25">
        <v>8800000</v>
      </c>
      <c r="Q4" s="1" t="s">
        <v>17</v>
      </c>
      <c r="R4" s="1" t="s">
        <v>17</v>
      </c>
      <c r="S4" s="1" t="s">
        <v>17</v>
      </c>
      <c r="T4" s="1" t="s">
        <v>17</v>
      </c>
      <c r="U4" s="1" t="s">
        <v>58</v>
      </c>
      <c r="V4" s="1" t="s">
        <v>18</v>
      </c>
      <c r="W4" s="1" t="s">
        <v>21</v>
      </c>
      <c r="X4" s="18" t="s">
        <v>198</v>
      </c>
    </row>
    <row r="5" spans="1:24">
      <c r="A5" s="12" t="s">
        <v>30</v>
      </c>
      <c r="B5" s="6" t="s">
        <v>166</v>
      </c>
      <c r="C5" s="1" t="s">
        <v>89</v>
      </c>
      <c r="D5" s="1" t="s">
        <v>164</v>
      </c>
      <c r="E5" s="1">
        <v>0.23</v>
      </c>
      <c r="F5" s="1">
        <v>0.25</v>
      </c>
      <c r="G5" s="1">
        <f t="shared" si="0"/>
        <v>0.93055555555555569</v>
      </c>
      <c r="H5" s="1">
        <v>0.5</v>
      </c>
      <c r="I5" s="1" t="b">
        <v>0</v>
      </c>
      <c r="J5" s="1">
        <v>115.4</v>
      </c>
      <c r="K5" s="1">
        <v>461.6</v>
      </c>
      <c r="L5" s="1">
        <v>1</v>
      </c>
      <c r="M5" s="1">
        <v>0</v>
      </c>
      <c r="N5" s="1">
        <v>0</v>
      </c>
      <c r="O5" s="27" t="s">
        <v>37</v>
      </c>
      <c r="P5" s="25">
        <v>34000000</v>
      </c>
      <c r="Q5" s="1" t="s">
        <v>17</v>
      </c>
      <c r="R5" s="1" t="s">
        <v>17</v>
      </c>
      <c r="S5" s="1" t="s">
        <v>17</v>
      </c>
      <c r="T5" s="1" t="s">
        <v>17</v>
      </c>
      <c r="U5" s="1" t="s">
        <v>58</v>
      </c>
      <c r="V5" s="1" t="s">
        <v>18</v>
      </c>
      <c r="W5" s="1" t="s">
        <v>21</v>
      </c>
      <c r="X5" s="1" t="s">
        <v>26</v>
      </c>
    </row>
    <row r="6" spans="1:24">
      <c r="A6" s="12"/>
      <c r="B6" s="6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27"/>
      <c r="P6" s="25"/>
      <c r="Q6" s="1"/>
      <c r="R6" s="1"/>
      <c r="S6" s="1"/>
      <c r="T6" s="1"/>
      <c r="U6" s="1"/>
      <c r="V6" s="1"/>
      <c r="W6" s="1"/>
      <c r="X6" s="1"/>
    </row>
    <row r="7" spans="1:24">
      <c r="A7" s="28" t="s">
        <v>240</v>
      </c>
      <c r="B7" s="6" t="s">
        <v>234</v>
      </c>
      <c r="C7" s="1" t="s">
        <v>89</v>
      </c>
      <c r="D7" s="1" t="s">
        <v>215</v>
      </c>
      <c r="E7" s="1">
        <v>0.23</v>
      </c>
      <c r="F7" s="1">
        <v>0.25</v>
      </c>
      <c r="G7" s="1">
        <f t="shared" si="0"/>
        <v>0.93055555555555569</v>
      </c>
      <c r="H7" s="1">
        <v>0.5</v>
      </c>
      <c r="I7" s="1" t="b">
        <v>0</v>
      </c>
      <c r="J7" s="1">
        <v>115.4</v>
      </c>
      <c r="K7" s="1">
        <v>461.6</v>
      </c>
      <c r="L7" s="1">
        <v>1</v>
      </c>
      <c r="M7" s="1">
        <v>0</v>
      </c>
      <c r="N7" s="1">
        <v>0</v>
      </c>
      <c r="O7" s="26" t="s">
        <v>256</v>
      </c>
      <c r="P7" s="29">
        <v>33000000</v>
      </c>
      <c r="Q7" s="1" t="s">
        <v>17</v>
      </c>
      <c r="R7" s="1" t="s">
        <v>17</v>
      </c>
      <c r="S7" s="1" t="s">
        <v>17</v>
      </c>
      <c r="T7" s="1" t="s">
        <v>17</v>
      </c>
      <c r="U7" s="1" t="s">
        <v>58</v>
      </c>
      <c r="V7" s="1" t="s">
        <v>18</v>
      </c>
      <c r="W7" s="1" t="s">
        <v>21</v>
      </c>
    </row>
    <row r="8" spans="1:24">
      <c r="A8" s="28" t="s">
        <v>241</v>
      </c>
      <c r="B8" s="6" t="s">
        <v>235</v>
      </c>
      <c r="C8" s="1" t="s">
        <v>89</v>
      </c>
      <c r="D8" s="1" t="s">
        <v>215</v>
      </c>
      <c r="E8" s="1">
        <v>0.13200000000000001</v>
      </c>
      <c r="F8" s="1">
        <v>0.59</v>
      </c>
      <c r="G8" s="1">
        <f t="shared" si="0"/>
        <v>-5.7248384118190165E-2</v>
      </c>
      <c r="H8" s="1">
        <v>0.5</v>
      </c>
      <c r="I8" s="1" t="b">
        <v>0</v>
      </c>
      <c r="J8" s="1">
        <v>115.4</v>
      </c>
      <c r="K8" s="1">
        <v>461.6</v>
      </c>
      <c r="L8" s="1">
        <v>1</v>
      </c>
      <c r="M8" s="1">
        <v>0</v>
      </c>
      <c r="N8" s="1">
        <v>0</v>
      </c>
      <c r="O8" s="26" t="s">
        <v>255</v>
      </c>
      <c r="P8" s="29">
        <v>2600000</v>
      </c>
      <c r="Q8" s="1" t="s">
        <v>17</v>
      </c>
      <c r="R8" s="1" t="s">
        <v>17</v>
      </c>
      <c r="S8" s="1" t="s">
        <v>17</v>
      </c>
      <c r="T8" s="1" t="s">
        <v>17</v>
      </c>
      <c r="U8" s="1" t="s">
        <v>58</v>
      </c>
      <c r="V8" s="1" t="s">
        <v>18</v>
      </c>
      <c r="W8" s="1" t="s">
        <v>21</v>
      </c>
    </row>
    <row r="9" spans="1:24">
      <c r="A9" s="28" t="s">
        <v>242</v>
      </c>
      <c r="B9" s="6" t="s">
        <v>236</v>
      </c>
      <c r="C9" s="1" t="s">
        <v>89</v>
      </c>
      <c r="D9" s="1" t="s">
        <v>215</v>
      </c>
      <c r="E9" s="1">
        <f>0.561/4</f>
        <v>0.14025000000000001</v>
      </c>
      <c r="F9" s="1">
        <v>0.56100000000000005</v>
      </c>
      <c r="G9" s="1">
        <f t="shared" si="0"/>
        <v>0</v>
      </c>
      <c r="H9" s="1">
        <v>0.5</v>
      </c>
      <c r="I9" s="1" t="b">
        <v>0</v>
      </c>
      <c r="J9" s="1">
        <v>115.4</v>
      </c>
      <c r="K9" s="1">
        <v>461.6</v>
      </c>
      <c r="L9" s="1">
        <v>1</v>
      </c>
      <c r="M9" s="1">
        <v>0</v>
      </c>
      <c r="N9" s="1">
        <v>0</v>
      </c>
      <c r="O9" s="26" t="s">
        <v>260</v>
      </c>
      <c r="P9" s="29">
        <v>2600000</v>
      </c>
      <c r="Q9" s="1" t="s">
        <v>17</v>
      </c>
      <c r="R9" s="1" t="s">
        <v>17</v>
      </c>
      <c r="S9" s="1" t="s">
        <v>17</v>
      </c>
      <c r="T9" s="1" t="s">
        <v>17</v>
      </c>
      <c r="U9" s="1" t="s">
        <v>58</v>
      </c>
      <c r="V9" s="1" t="s">
        <v>18</v>
      </c>
      <c r="W9" s="1" t="s">
        <v>21</v>
      </c>
    </row>
    <row r="10" spans="1:24">
      <c r="A10" s="28" t="s">
        <v>243</v>
      </c>
      <c r="B10" s="6" t="s">
        <v>237</v>
      </c>
      <c r="C10" s="1" t="s">
        <v>89</v>
      </c>
      <c r="D10" s="1" t="s">
        <v>215</v>
      </c>
      <c r="E10" s="1">
        <v>0.14499999999999999</v>
      </c>
      <c r="F10" s="1">
        <v>0.53</v>
      </c>
      <c r="G10" s="1">
        <f t="shared" si="0"/>
        <v>4.9382716049382644E-2</v>
      </c>
      <c r="H10" s="1">
        <v>0.5</v>
      </c>
      <c r="I10" s="1" t="b">
        <v>0</v>
      </c>
      <c r="J10" s="1">
        <v>115.4</v>
      </c>
      <c r="K10" s="1">
        <v>461.6</v>
      </c>
      <c r="L10" s="1">
        <v>1</v>
      </c>
      <c r="M10" s="1">
        <v>0</v>
      </c>
      <c r="N10" s="1">
        <v>0</v>
      </c>
      <c r="O10" s="26" t="s">
        <v>259</v>
      </c>
      <c r="P10" s="29">
        <v>2700000</v>
      </c>
      <c r="Q10" s="1" t="s">
        <v>17</v>
      </c>
      <c r="R10" s="1" t="s">
        <v>17</v>
      </c>
      <c r="S10" s="1" t="s">
        <v>17</v>
      </c>
      <c r="T10" s="1" t="s">
        <v>17</v>
      </c>
      <c r="U10" s="1" t="s">
        <v>58</v>
      </c>
      <c r="V10" s="1" t="s">
        <v>18</v>
      </c>
      <c r="W10" s="1" t="s">
        <v>21</v>
      </c>
    </row>
    <row r="11" spans="1:24">
      <c r="A11" s="28" t="s">
        <v>244</v>
      </c>
      <c r="B11" s="6" t="s">
        <v>238</v>
      </c>
      <c r="C11" s="1" t="s">
        <v>89</v>
      </c>
      <c r="D11" s="1" t="s">
        <v>215</v>
      </c>
      <c r="E11" s="1">
        <v>0.157</v>
      </c>
      <c r="F11" s="1">
        <v>0.5</v>
      </c>
      <c r="G11" s="1">
        <f t="shared" si="0"/>
        <v>0.12988330796549974</v>
      </c>
      <c r="H11" s="1">
        <v>0.5</v>
      </c>
      <c r="I11" s="1" t="b">
        <v>0</v>
      </c>
      <c r="J11" s="1">
        <v>115.4</v>
      </c>
      <c r="K11" s="1">
        <v>461.6</v>
      </c>
      <c r="L11" s="1">
        <v>1</v>
      </c>
      <c r="M11" s="1">
        <v>0</v>
      </c>
      <c r="N11" s="1">
        <v>0</v>
      </c>
      <c r="O11" s="26" t="s">
        <v>258</v>
      </c>
      <c r="P11" s="29">
        <v>2822622.3517611702</v>
      </c>
      <c r="Q11" s="1" t="s">
        <v>17</v>
      </c>
      <c r="R11" s="1" t="s">
        <v>17</v>
      </c>
      <c r="S11" s="1" t="s">
        <v>17</v>
      </c>
      <c r="T11" s="1" t="s">
        <v>17</v>
      </c>
      <c r="U11" s="1" t="s">
        <v>58</v>
      </c>
      <c r="V11" s="1" t="s">
        <v>18</v>
      </c>
      <c r="W11" s="1" t="s">
        <v>21</v>
      </c>
    </row>
    <row r="12" spans="1:24">
      <c r="A12" s="28" t="s">
        <v>245</v>
      </c>
      <c r="B12" s="6" t="s">
        <v>239</v>
      </c>
      <c r="C12" s="1" t="s">
        <v>89</v>
      </c>
      <c r="D12" s="1" t="s">
        <v>215</v>
      </c>
      <c r="E12" s="1">
        <v>0.185</v>
      </c>
      <c r="F12" s="1">
        <v>0.4</v>
      </c>
      <c r="G12" s="1">
        <f t="shared" si="0"/>
        <v>0.38746438746438744</v>
      </c>
      <c r="H12" s="1">
        <v>0.5</v>
      </c>
      <c r="I12" s="1" t="b">
        <v>0</v>
      </c>
      <c r="J12" s="1">
        <v>115.4</v>
      </c>
      <c r="K12" s="1">
        <v>461.6</v>
      </c>
      <c r="L12" s="1">
        <v>1</v>
      </c>
      <c r="M12" s="1">
        <v>0</v>
      </c>
      <c r="N12" s="1">
        <v>0</v>
      </c>
      <c r="O12" s="26" t="s">
        <v>257</v>
      </c>
      <c r="P12" s="29">
        <v>7390148.5472131995</v>
      </c>
      <c r="Q12" s="1" t="s">
        <v>17</v>
      </c>
      <c r="R12" s="1" t="s">
        <v>17</v>
      </c>
      <c r="S12" s="1" t="s">
        <v>17</v>
      </c>
      <c r="T12" s="1" t="s">
        <v>17</v>
      </c>
      <c r="U12" s="1" t="s">
        <v>58</v>
      </c>
      <c r="V12" s="1" t="s">
        <v>18</v>
      </c>
      <c r="W12" s="1" t="s">
        <v>21</v>
      </c>
    </row>
    <row r="13" spans="1:24">
      <c r="A13" s="28"/>
      <c r="B13" s="6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P13" s="29"/>
      <c r="Q13" s="1"/>
      <c r="R13" s="1"/>
      <c r="S13" s="1"/>
      <c r="T13" s="1"/>
      <c r="U13" s="1"/>
      <c r="V13" s="1"/>
      <c r="W13" s="1"/>
    </row>
    <row r="14" spans="1:24">
      <c r="A14" s="28" t="s">
        <v>209</v>
      </c>
      <c r="B14" s="6" t="s">
        <v>216</v>
      </c>
      <c r="C14" s="1" t="s">
        <v>89</v>
      </c>
      <c r="D14" s="1" t="s">
        <v>215</v>
      </c>
      <c r="E14" s="1">
        <v>0.23</v>
      </c>
      <c r="F14" s="1">
        <v>0.25</v>
      </c>
      <c r="G14" s="1">
        <f t="shared" si="0"/>
        <v>0.93055555555555569</v>
      </c>
      <c r="H14" s="1">
        <v>0.65</v>
      </c>
      <c r="I14" s="1" t="b">
        <v>0</v>
      </c>
      <c r="J14" s="1">
        <v>115.4</v>
      </c>
      <c r="K14" s="1">
        <v>461.6</v>
      </c>
      <c r="L14" s="1">
        <v>1</v>
      </c>
      <c r="M14" s="1">
        <v>0</v>
      </c>
      <c r="N14" s="1">
        <v>0</v>
      </c>
      <c r="O14" s="27" t="s">
        <v>248</v>
      </c>
      <c r="P14" s="29">
        <v>10480000</v>
      </c>
      <c r="Q14" s="1" t="s">
        <v>17</v>
      </c>
      <c r="R14" s="1" t="s">
        <v>17</v>
      </c>
      <c r="S14" s="1" t="s">
        <v>17</v>
      </c>
      <c r="T14" s="1" t="s">
        <v>17</v>
      </c>
      <c r="U14" s="1" t="s">
        <v>58</v>
      </c>
      <c r="V14" s="1" t="s">
        <v>18</v>
      </c>
      <c r="W14" s="1" t="s">
        <v>21</v>
      </c>
    </row>
    <row r="15" spans="1:24">
      <c r="A15" s="28" t="s">
        <v>210</v>
      </c>
      <c r="B15" s="6" t="s">
        <v>217</v>
      </c>
      <c r="C15" s="1" t="s">
        <v>89</v>
      </c>
      <c r="D15" s="1" t="s">
        <v>215</v>
      </c>
      <c r="E15" s="1">
        <v>0.13200000000000001</v>
      </c>
      <c r="F15" s="1">
        <v>0.59</v>
      </c>
      <c r="G15" s="1">
        <f t="shared" si="0"/>
        <v>-5.7248384118190165E-2</v>
      </c>
      <c r="H15" s="1">
        <v>0.65</v>
      </c>
      <c r="I15" s="1" t="b">
        <v>0</v>
      </c>
      <c r="J15" s="1">
        <v>115.4</v>
      </c>
      <c r="K15" s="1">
        <v>461.6</v>
      </c>
      <c r="L15" s="1">
        <v>1</v>
      </c>
      <c r="M15" s="1">
        <v>0</v>
      </c>
      <c r="N15" s="1">
        <v>0</v>
      </c>
      <c r="O15" s="27" t="s">
        <v>246</v>
      </c>
      <c r="P15" s="29">
        <v>2150000</v>
      </c>
      <c r="Q15" s="1" t="s">
        <v>17</v>
      </c>
      <c r="R15" s="1" t="s">
        <v>17</v>
      </c>
      <c r="S15" s="1" t="s">
        <v>17</v>
      </c>
      <c r="T15" s="1" t="s">
        <v>17</v>
      </c>
      <c r="U15" s="1" t="s">
        <v>58</v>
      </c>
      <c r="V15" s="1" t="s">
        <v>18</v>
      </c>
      <c r="W15" s="1" t="s">
        <v>21</v>
      </c>
    </row>
    <row r="16" spans="1:24">
      <c r="A16" s="28" t="s">
        <v>214</v>
      </c>
      <c r="B16" s="6" t="s">
        <v>218</v>
      </c>
      <c r="C16" s="1" t="s">
        <v>89</v>
      </c>
      <c r="D16" s="1" t="s">
        <v>215</v>
      </c>
      <c r="E16" s="1">
        <f>0.561/4</f>
        <v>0.14025000000000001</v>
      </c>
      <c r="F16" s="1">
        <v>0.56100000000000005</v>
      </c>
      <c r="G16" s="1">
        <f t="shared" si="0"/>
        <v>0</v>
      </c>
      <c r="H16" s="1">
        <v>0.65</v>
      </c>
      <c r="I16" s="1" t="b">
        <v>0</v>
      </c>
      <c r="J16" s="1">
        <v>115.4</v>
      </c>
      <c r="K16" s="1">
        <v>461.6</v>
      </c>
      <c r="L16" s="1">
        <v>1</v>
      </c>
      <c r="M16" s="1">
        <v>0</v>
      </c>
      <c r="N16" s="1">
        <v>0</v>
      </c>
      <c r="O16" s="27" t="s">
        <v>246</v>
      </c>
      <c r="P16" s="29">
        <v>2150000</v>
      </c>
      <c r="Q16" s="1" t="s">
        <v>17</v>
      </c>
      <c r="R16" s="1" t="s">
        <v>17</v>
      </c>
      <c r="S16" s="1" t="s">
        <v>17</v>
      </c>
      <c r="T16" s="1" t="s">
        <v>17</v>
      </c>
      <c r="U16" s="1" t="s">
        <v>58</v>
      </c>
      <c r="V16" s="1" t="s">
        <v>18</v>
      </c>
      <c r="W16" s="1" t="s">
        <v>21</v>
      </c>
    </row>
    <row r="17" spans="1:23">
      <c r="A17" s="28" t="s">
        <v>211</v>
      </c>
      <c r="B17" s="6" t="s">
        <v>221</v>
      </c>
      <c r="C17" s="1" t="s">
        <v>89</v>
      </c>
      <c r="D17" s="1" t="s">
        <v>215</v>
      </c>
      <c r="E17" s="1">
        <v>0.14499999999999999</v>
      </c>
      <c r="F17" s="1">
        <v>0.53</v>
      </c>
      <c r="G17" s="1">
        <f t="shared" si="0"/>
        <v>4.9382716049382644E-2</v>
      </c>
      <c r="H17" s="1">
        <v>0.65</v>
      </c>
      <c r="I17" s="1" t="b">
        <v>0</v>
      </c>
      <c r="J17" s="1">
        <v>115.4</v>
      </c>
      <c r="K17" s="1">
        <v>461.6</v>
      </c>
      <c r="L17" s="1">
        <v>1</v>
      </c>
      <c r="M17" s="1">
        <v>0</v>
      </c>
      <c r="N17" s="1">
        <v>0</v>
      </c>
      <c r="O17" s="26" t="s">
        <v>247</v>
      </c>
      <c r="P17" s="29">
        <v>2330000</v>
      </c>
      <c r="Q17" s="1" t="s">
        <v>17</v>
      </c>
      <c r="R17" s="1" t="s">
        <v>17</v>
      </c>
      <c r="S17" s="1" t="s">
        <v>17</v>
      </c>
      <c r="T17" s="1" t="s">
        <v>17</v>
      </c>
      <c r="U17" s="1" t="s">
        <v>58</v>
      </c>
      <c r="V17" s="1" t="s">
        <v>18</v>
      </c>
      <c r="W17" s="1" t="s">
        <v>21</v>
      </c>
    </row>
    <row r="18" spans="1:23">
      <c r="A18" s="28" t="s">
        <v>212</v>
      </c>
      <c r="B18" s="6" t="s">
        <v>219</v>
      </c>
      <c r="C18" s="1" t="s">
        <v>89</v>
      </c>
      <c r="D18" s="1" t="s">
        <v>215</v>
      </c>
      <c r="E18" s="1">
        <v>0.157</v>
      </c>
      <c r="F18" s="1">
        <v>0.5</v>
      </c>
      <c r="G18" s="1">
        <f t="shared" si="0"/>
        <v>0.12988330796549974</v>
      </c>
      <c r="H18" s="1">
        <v>0.65</v>
      </c>
      <c r="I18" s="1" t="b">
        <v>0</v>
      </c>
      <c r="J18" s="1">
        <v>115.4</v>
      </c>
      <c r="K18" s="1">
        <v>461.6</v>
      </c>
      <c r="L18" s="1">
        <v>1</v>
      </c>
      <c r="M18" s="1">
        <v>0</v>
      </c>
      <c r="N18" s="1">
        <v>0</v>
      </c>
      <c r="O18" s="27" t="s">
        <v>246</v>
      </c>
      <c r="P18" s="29">
        <v>2500000</v>
      </c>
      <c r="Q18" s="1" t="s">
        <v>17</v>
      </c>
      <c r="R18" s="1" t="s">
        <v>17</v>
      </c>
      <c r="S18" s="1" t="s">
        <v>17</v>
      </c>
      <c r="T18" s="1" t="s">
        <v>17</v>
      </c>
      <c r="U18" s="1" t="s">
        <v>58</v>
      </c>
      <c r="V18" s="1" t="s">
        <v>18</v>
      </c>
      <c r="W18" s="1" t="s">
        <v>21</v>
      </c>
    </row>
    <row r="19" spans="1:23">
      <c r="A19" s="28" t="s">
        <v>213</v>
      </c>
      <c r="B19" s="6" t="s">
        <v>220</v>
      </c>
      <c r="C19" s="1" t="s">
        <v>89</v>
      </c>
      <c r="D19" s="1" t="s">
        <v>215</v>
      </c>
      <c r="E19" s="1">
        <v>0.185</v>
      </c>
      <c r="F19" s="1">
        <v>0.4</v>
      </c>
      <c r="G19" s="1">
        <f t="shared" si="0"/>
        <v>0.38746438746438744</v>
      </c>
      <c r="H19" s="1">
        <v>0.65</v>
      </c>
      <c r="I19" s="1" t="b">
        <v>0</v>
      </c>
      <c r="J19" s="1">
        <v>115.4</v>
      </c>
      <c r="K19" s="1">
        <v>461.6</v>
      </c>
      <c r="L19" s="1">
        <v>1</v>
      </c>
      <c r="M19" s="1">
        <v>0</v>
      </c>
      <c r="N19" s="1">
        <v>0</v>
      </c>
      <c r="O19" s="27" t="s">
        <v>246</v>
      </c>
      <c r="P19" s="29">
        <v>2900000</v>
      </c>
      <c r="Q19" s="1" t="s">
        <v>17</v>
      </c>
      <c r="R19" s="1" t="s">
        <v>17</v>
      </c>
      <c r="S19" s="1" t="s">
        <v>17</v>
      </c>
      <c r="T19" s="1" t="s">
        <v>17</v>
      </c>
      <c r="U19" s="1" t="s">
        <v>58</v>
      </c>
      <c r="V19" s="1" t="s">
        <v>18</v>
      </c>
      <c r="W19" s="1" t="s">
        <v>21</v>
      </c>
    </row>
    <row r="20" spans="1:23">
      <c r="A20" s="28"/>
      <c r="B20" s="6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27"/>
      <c r="P20" s="29"/>
      <c r="Q20" s="1"/>
      <c r="R20" s="1"/>
      <c r="S20" s="1"/>
      <c r="T20" s="1"/>
      <c r="U20" s="1"/>
      <c r="V20" s="1"/>
      <c r="W20" s="1"/>
    </row>
    <row r="21" spans="1:23">
      <c r="A21" s="28" t="s">
        <v>222</v>
      </c>
      <c r="B21" s="6" t="s">
        <v>228</v>
      </c>
      <c r="C21" s="1" t="s">
        <v>89</v>
      </c>
      <c r="D21" s="1" t="s">
        <v>215</v>
      </c>
      <c r="E21" s="1">
        <v>0.23</v>
      </c>
      <c r="F21" s="1">
        <v>0.25</v>
      </c>
      <c r="G21" s="1">
        <f t="shared" si="0"/>
        <v>0.93055555555555569</v>
      </c>
      <c r="H21" s="1">
        <v>1</v>
      </c>
      <c r="I21" s="1" t="b">
        <v>0</v>
      </c>
      <c r="J21" s="1">
        <v>115.4</v>
      </c>
      <c r="K21" s="1">
        <v>461.6</v>
      </c>
      <c r="L21" s="1">
        <v>1</v>
      </c>
      <c r="M21" s="1">
        <v>0</v>
      </c>
      <c r="N21" s="1">
        <v>0</v>
      </c>
      <c r="O21" s="26" t="s">
        <v>249</v>
      </c>
      <c r="P21" s="29">
        <v>7888629.3816567399</v>
      </c>
      <c r="Q21" s="1" t="s">
        <v>17</v>
      </c>
      <c r="R21" s="1" t="s">
        <v>17</v>
      </c>
      <c r="S21" s="1" t="s">
        <v>17</v>
      </c>
      <c r="T21" s="1" t="s">
        <v>17</v>
      </c>
      <c r="U21" s="1" t="s">
        <v>58</v>
      </c>
      <c r="V21" s="1" t="s">
        <v>18</v>
      </c>
      <c r="W21" s="1" t="s">
        <v>21</v>
      </c>
    </row>
    <row r="22" spans="1:23">
      <c r="A22" s="28" t="s">
        <v>223</v>
      </c>
      <c r="B22" s="6" t="s">
        <v>229</v>
      </c>
      <c r="C22" s="1" t="s">
        <v>89</v>
      </c>
      <c r="D22" s="1" t="s">
        <v>215</v>
      </c>
      <c r="E22" s="1">
        <v>0.13200000000000001</v>
      </c>
      <c r="F22" s="1">
        <v>0.59</v>
      </c>
      <c r="G22" s="1">
        <f t="shared" si="0"/>
        <v>-5.7248384118190165E-2</v>
      </c>
      <c r="H22" s="1">
        <v>1</v>
      </c>
      <c r="I22" s="1" t="b">
        <v>0</v>
      </c>
      <c r="J22" s="1">
        <v>115.4</v>
      </c>
      <c r="K22" s="1">
        <v>461.6</v>
      </c>
      <c r="L22" s="1">
        <v>1</v>
      </c>
      <c r="M22" s="1">
        <v>0</v>
      </c>
      <c r="N22" s="1">
        <v>0</v>
      </c>
      <c r="O22" s="26" t="s">
        <v>250</v>
      </c>
      <c r="P22" s="29">
        <v>1992680.77277743</v>
      </c>
      <c r="Q22" s="1" t="s">
        <v>17</v>
      </c>
      <c r="R22" s="1" t="s">
        <v>17</v>
      </c>
      <c r="S22" s="1" t="s">
        <v>17</v>
      </c>
      <c r="T22" s="1" t="s">
        <v>17</v>
      </c>
      <c r="U22" s="1" t="s">
        <v>58</v>
      </c>
      <c r="V22" s="1" t="s">
        <v>18</v>
      </c>
      <c r="W22" s="1" t="s">
        <v>21</v>
      </c>
    </row>
    <row r="23" spans="1:23">
      <c r="A23" s="28" t="s">
        <v>224</v>
      </c>
      <c r="B23" s="6" t="s">
        <v>230</v>
      </c>
      <c r="C23" s="1" t="s">
        <v>89</v>
      </c>
      <c r="D23" s="1" t="s">
        <v>215</v>
      </c>
      <c r="E23" s="1">
        <f>0.561/4</f>
        <v>0.14025000000000001</v>
      </c>
      <c r="F23" s="1">
        <v>0.56100000000000005</v>
      </c>
      <c r="G23" s="1">
        <f t="shared" si="0"/>
        <v>0</v>
      </c>
      <c r="H23" s="1">
        <v>1</v>
      </c>
      <c r="I23" s="1" t="b">
        <v>0</v>
      </c>
      <c r="J23" s="1">
        <v>115.4</v>
      </c>
      <c r="K23" s="1">
        <v>461.6</v>
      </c>
      <c r="L23" s="1">
        <v>1</v>
      </c>
      <c r="M23" s="1">
        <v>0</v>
      </c>
      <c r="N23" s="1">
        <v>0</v>
      </c>
      <c r="O23" s="26" t="s">
        <v>251</v>
      </c>
      <c r="P23" s="29">
        <v>1960000</v>
      </c>
      <c r="Q23" s="1" t="s">
        <v>17</v>
      </c>
      <c r="R23" s="1" t="s">
        <v>17</v>
      </c>
      <c r="S23" s="1" t="s">
        <v>17</v>
      </c>
      <c r="T23" s="1" t="s">
        <v>17</v>
      </c>
      <c r="U23" s="1" t="s">
        <v>58</v>
      </c>
      <c r="V23" s="1" t="s">
        <v>18</v>
      </c>
      <c r="W23" s="1" t="s">
        <v>21</v>
      </c>
    </row>
    <row r="24" spans="1:23">
      <c r="A24" s="28" t="s">
        <v>225</v>
      </c>
      <c r="B24" s="6" t="s">
        <v>231</v>
      </c>
      <c r="C24" s="1" t="s">
        <v>89</v>
      </c>
      <c r="D24" s="1" t="s">
        <v>215</v>
      </c>
      <c r="E24" s="1">
        <v>0.14499999999999999</v>
      </c>
      <c r="F24" s="1">
        <v>0.53</v>
      </c>
      <c r="G24" s="1">
        <f t="shared" si="0"/>
        <v>4.9382716049382644E-2</v>
      </c>
      <c r="H24" s="1">
        <v>1</v>
      </c>
      <c r="I24" s="1" t="b">
        <v>0</v>
      </c>
      <c r="J24" s="1">
        <v>115.4</v>
      </c>
      <c r="K24" s="1">
        <v>461.6</v>
      </c>
      <c r="L24" s="1">
        <v>1</v>
      </c>
      <c r="M24" s="1">
        <v>0</v>
      </c>
      <c r="N24" s="1">
        <v>0</v>
      </c>
      <c r="O24" s="26" t="s">
        <v>252</v>
      </c>
      <c r="P24" s="29">
        <v>1990000</v>
      </c>
      <c r="Q24" s="1" t="s">
        <v>17</v>
      </c>
      <c r="R24" s="1" t="s">
        <v>17</v>
      </c>
      <c r="S24" s="1" t="s">
        <v>17</v>
      </c>
      <c r="T24" s="1" t="s">
        <v>17</v>
      </c>
      <c r="U24" s="1" t="s">
        <v>58</v>
      </c>
      <c r="V24" s="1" t="s">
        <v>18</v>
      </c>
      <c r="W24" s="1" t="s">
        <v>21</v>
      </c>
    </row>
    <row r="25" spans="1:23">
      <c r="A25" s="28" t="s">
        <v>226</v>
      </c>
      <c r="B25" s="6" t="s">
        <v>232</v>
      </c>
      <c r="C25" s="1" t="s">
        <v>89</v>
      </c>
      <c r="D25" s="1" t="s">
        <v>215</v>
      </c>
      <c r="E25" s="1">
        <v>0.157</v>
      </c>
      <c r="F25" s="1">
        <v>0.5</v>
      </c>
      <c r="G25" s="1">
        <f t="shared" si="0"/>
        <v>0.12988330796549974</v>
      </c>
      <c r="H25" s="1">
        <v>1</v>
      </c>
      <c r="I25" s="1" t="b">
        <v>0</v>
      </c>
      <c r="J25" s="1">
        <v>115.4</v>
      </c>
      <c r="K25" s="1">
        <v>461.6</v>
      </c>
      <c r="L25" s="1">
        <v>1</v>
      </c>
      <c r="M25" s="1">
        <v>0</v>
      </c>
      <c r="N25" s="1">
        <v>0</v>
      </c>
      <c r="O25" s="26" t="s">
        <v>253</v>
      </c>
      <c r="P25" s="29">
        <v>2020000</v>
      </c>
      <c r="Q25" s="1" t="s">
        <v>17</v>
      </c>
      <c r="R25" s="1" t="s">
        <v>17</v>
      </c>
      <c r="S25" s="1" t="s">
        <v>17</v>
      </c>
      <c r="T25" s="1" t="s">
        <v>17</v>
      </c>
      <c r="U25" s="1" t="s">
        <v>58</v>
      </c>
      <c r="V25" s="1" t="s">
        <v>18</v>
      </c>
      <c r="W25" s="1" t="s">
        <v>21</v>
      </c>
    </row>
    <row r="26" spans="1:23">
      <c r="A26" s="28" t="s">
        <v>227</v>
      </c>
      <c r="B26" s="6" t="s">
        <v>233</v>
      </c>
      <c r="C26" s="1" t="s">
        <v>89</v>
      </c>
      <c r="D26" s="1" t="s">
        <v>215</v>
      </c>
      <c r="E26" s="1">
        <v>0.185</v>
      </c>
      <c r="F26" s="1">
        <v>0.4</v>
      </c>
      <c r="G26" s="1">
        <f t="shared" si="0"/>
        <v>0.38746438746438744</v>
      </c>
      <c r="H26" s="1">
        <v>1</v>
      </c>
      <c r="I26" s="1" t="b">
        <v>0</v>
      </c>
      <c r="J26" s="1">
        <v>115.4</v>
      </c>
      <c r="K26" s="1">
        <v>461.6</v>
      </c>
      <c r="L26" s="1">
        <v>1</v>
      </c>
      <c r="M26" s="1">
        <v>0</v>
      </c>
      <c r="N26" s="1">
        <v>0</v>
      </c>
      <c r="O26" s="26" t="s">
        <v>254</v>
      </c>
      <c r="P26" s="29">
        <v>3460000</v>
      </c>
      <c r="Q26" s="1" t="s">
        <v>17</v>
      </c>
      <c r="R26" s="1" t="s">
        <v>17</v>
      </c>
      <c r="S26" s="1" t="s">
        <v>17</v>
      </c>
      <c r="T26" s="1" t="s">
        <v>17</v>
      </c>
      <c r="U26" s="1" t="s">
        <v>58</v>
      </c>
      <c r="V26" s="1" t="s">
        <v>18</v>
      </c>
      <c r="W26" s="1" t="s">
        <v>21</v>
      </c>
    </row>
    <row r="27" spans="1:23">
      <c r="A27" s="28"/>
      <c r="B27" s="6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P27" s="29"/>
      <c r="Q27" s="1"/>
      <c r="R27" s="1"/>
      <c r="S27" s="1"/>
      <c r="T27" s="1"/>
      <c r="U27" s="1"/>
      <c r="V27" s="1"/>
      <c r="W27" s="1"/>
    </row>
  </sheetData>
  <phoneticPr fontId="1" type="noConversion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Sheet1</vt:lpstr>
      <vt:lpstr>Table S1</vt:lpstr>
      <vt:lpstr>Table S2</vt:lpstr>
      <vt:lpstr>Figure 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Ziheng Li</dc:creator>
  <cp:lastModifiedBy>Ziheng Li</cp:lastModifiedBy>
  <dcterms:created xsi:type="dcterms:W3CDTF">2023-11-29T03:47:14Z</dcterms:created>
  <dcterms:modified xsi:type="dcterms:W3CDTF">2024-01-28T07:00:31Z</dcterms:modified>
</cp:coreProperties>
</file>